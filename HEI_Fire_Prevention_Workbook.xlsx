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Fire Risk Register" sheetId="3" state="visible" r:id="rId5"/>
    <sheet name="Inspection Checklist" sheetId="4" state="visible" r:id="rId6"/>
    <sheet name="Inspection Schedule" sheetId="5" state="visible" r:id="rId7"/>
    <sheet name="Hazard Reports &amp; CAPA" sheetId="6" state="visible" r:id="rId8"/>
    <sheet name="Fire Protection Register" sheetId="7" state="visible" r:id="rId9"/>
    <sheet name="Hot-Work Permits" sheetId="8" state="visible" r:id="rId10"/>
    <sheet name="Flammable Inventory" sheetId="9" state="visible" r:id="rId11"/>
    <sheet name="Hostel &amp; Kitchen Checks" sheetId="10" state="visible" r:id="rId12"/>
    <sheet name="Training Records" sheetId="11" state="visible" r:id="rId13"/>
    <sheet name="Fire Drill Register" sheetId="12" state="visible" r:id="rId14"/>
    <sheet name="RACI Matrix" sheetId="13" state="visible" r:id="rId15"/>
    <sheet name="List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Defaults to today. Overwrite with a fixed date to report as of that date.</t>
        </r>
      </text>
    </comment>
  </commentList>
</comments>
</file>

<file path=xl/sharedStrings.xml><?xml version="1.0" encoding="utf-8"?>
<sst xmlns="http://schemas.openxmlformats.org/spreadsheetml/2006/main" count="879" uniqueCount="521">
  <si>
    <t xml:space="preserve">Fire Prevention in HEIs – Monitoring Workbook</t>
  </si>
  <si>
    <t xml:space="preserve">Companion to the Fire Prevention SOP</t>
  </si>
  <si>
    <t xml:space="preserve">How to use</t>
  </si>
  <si>
    <t xml:space="preserve">Yellow cells, blue text</t>
  </si>
  <si>
    <t xml:space="preserve">Input cells – type or pick from the drop-down. Only edit these.</t>
  </si>
  <si>
    <t xml:space="preserve">Grey cells</t>
  </si>
  <si>
    <t xml:space="preserve">Auto-calculated formulas – do not overwrite.</t>
  </si>
  <si>
    <t xml:space="preserve">Green / amber / red</t>
  </si>
  <si>
    <t xml:space="preserve">Status highlighting is applied automatically. Dark red = critical / escalate.</t>
  </si>
  <si>
    <t xml:space="preserve">Sample data</t>
  </si>
  <si>
    <t xml:space="preserve">Registers hold example rows from a campus scenario so the Dashboard shows results. Overwrite or clear before use.</t>
  </si>
  <si>
    <t xml:space="preserve">Report date</t>
  </si>
  <si>
    <t xml:space="preserve">Dashboard C5 defaults to TODAY(). Overwrite with a fixed date to report as of that date.</t>
  </si>
  <si>
    <t xml:space="preserve">Parameters</t>
  </si>
  <si>
    <t xml:space="preserve">Risk thresholds and warning windows are on the Lists sheet (column R).</t>
  </si>
  <si>
    <t xml:space="preserve">Sheets</t>
  </si>
  <si>
    <t xml:space="preserve">Dashboard</t>
  </si>
  <si>
    <t xml:space="preserve">SOP Section 17 KPIs plus supporting indicators, items needing attention and hazards by category.</t>
  </si>
  <si>
    <t xml:space="preserve">Fire Risk Register</t>
  </si>
  <si>
    <t xml:space="preserve">SOP Section 5: hazard, likelihood × consequence, risk level, controls, action owner and date, residual risk.</t>
  </si>
  <si>
    <t xml:space="preserve">Inspection Checklist</t>
  </si>
  <si>
    <t xml:space="preserve">SOP Section 13: 15 inspection items; critical life-safety deficiencies flagged for escalation.</t>
  </si>
  <si>
    <t xml:space="preserve">Inspection Schedule</t>
  </si>
  <si>
    <t xml:space="preserve">Planned vs completed inspections and critical deficiencies found – drives KPIs 17.1 and 17.5.</t>
  </si>
  <si>
    <t xml:space="preserve">Hazard Reports &amp; CAPA</t>
  </si>
  <si>
    <t xml:space="preserve">SOP Section 15: record, assess, protect, assign, deadline, verify, update register, escalate.</t>
  </si>
  <si>
    <t xml:space="preserve">Fire Protection Register</t>
  </si>
  <si>
    <t xml:space="preserve">SOP Section 12: equipment service dates, impairments and interim controls – drives KPI 17.4.</t>
  </si>
  <si>
    <t xml:space="preserve">Hot-Work Permits</t>
  </si>
  <si>
    <t xml:space="preserve">SOP Section 11: the 10 permit conditions; work must STOP if any essential condition is not met.</t>
  </si>
  <si>
    <t xml:space="preserve">Flammable Inventory</t>
  </si>
  <si>
    <t xml:space="preserve">SOP Section 8: quantities vs permitted limits, approved storage, segregation, labelling, cylinders.</t>
  </si>
  <si>
    <t xml:space="preserve">Hostel &amp; Kitchen Checks</t>
  </si>
  <si>
    <t xml:space="preserve">SOP Sections 9 and 10: residential and kitchen fire-prevention controls.</t>
  </si>
  <si>
    <t xml:space="preserve">Training Records</t>
  </si>
  <si>
    <t xml:space="preserve">SOP Section 14: training by role and module, expiry – drives KPI 17.3.</t>
  </si>
  <si>
    <t xml:space="preserve">Fire Drill Register</t>
  </si>
  <si>
    <t xml:space="preserve">Fire drill reports (Section 18 records).</t>
  </si>
  <si>
    <t xml:space="preserve">RACI Matrix</t>
  </si>
  <si>
    <t xml:space="preserve">SOP Section 16 with an automatic check that each activity has one Accountable role.</t>
  </si>
  <si>
    <t xml:space="preserve">Lists</t>
  </si>
  <si>
    <t xml:space="preserve">Drop-down sources and adjustable parameters.</t>
  </si>
  <si>
    <t xml:space="preserve">Fire Prevention – KPI Dashboard</t>
  </si>
  <si>
    <t xml:space="preserve">SOP Section 17 – Fire Prevention KPIs (auto-calculated from the registers)</t>
  </si>
  <si>
    <t xml:space="preserve">Institution / campus</t>
  </si>
  <si>
    <t xml:space="preserve">Main Campus</t>
  </si>
  <si>
    <t xml:space="preserve">#</t>
  </si>
  <si>
    <t xml:space="preserve">KPI</t>
  </si>
  <si>
    <t xml:space="preserve">Formula</t>
  </si>
  <si>
    <t xml:space="preserve">Actual</t>
  </si>
  <si>
    <t xml:space="preserve">Target</t>
  </si>
  <si>
    <t xml:space="preserve">Direction</t>
  </si>
  <si>
    <t xml:space="preserve">Status</t>
  </si>
  <si>
    <t xml:space="preserve">Source</t>
  </si>
  <si>
    <t xml:space="preserve">17.1</t>
  </si>
  <si>
    <t xml:space="preserve">Fire safety inspection compliance</t>
  </si>
  <si>
    <t xml:space="preserve">Inspections completed ÷ inspections planned (due to date) × 100</t>
  </si>
  <si>
    <t xml:space="preserve">Higher is better</t>
  </si>
  <si>
    <t xml:space="preserve">17.2</t>
  </si>
  <si>
    <t xml:space="preserve">Fire hazard closure rate</t>
  </si>
  <si>
    <t xml:space="preserve">Hazards closed (verified) ÷ hazards reported × 100</t>
  </si>
  <si>
    <t xml:space="preserve">17.3</t>
  </si>
  <si>
    <t xml:space="preserve">Fire safety training compliance</t>
  </si>
  <si>
    <t xml:space="preserve">Personnel with current training ÷ personnel requiring training × 100</t>
  </si>
  <si>
    <t xml:space="preserve">17.4</t>
  </si>
  <si>
    <t xml:space="preserve">Fire protection maintenance compliance</t>
  </si>
  <si>
    <t xml:space="preserve">Equipment within service schedule ÷ equipment requiring service × 100</t>
  </si>
  <si>
    <t xml:space="preserve">17.5</t>
  </si>
  <si>
    <t xml:space="preserve">Critical fire safety deficiency rate</t>
  </si>
  <si>
    <t xml:space="preserve">Critical deficiencies found ÷ inspections conducted (rate per inspection)</t>
  </si>
  <si>
    <t xml:space="preserve">Lower is better</t>
  </si>
  <si>
    <t xml:space="preserve">S1</t>
  </si>
  <si>
    <t xml:space="preserve">High / critical residual fire risks</t>
  </si>
  <si>
    <t xml:space="preserve">Fire Risk Register – residual level High or Critical</t>
  </si>
  <si>
    <t xml:space="preserve">S2</t>
  </si>
  <si>
    <t xml:space="preserve">Flammable storage compliance</t>
  </si>
  <si>
    <t xml:space="preserve">Compliant items ÷ inventory items × 100</t>
  </si>
  <si>
    <t xml:space="preserve">S3</t>
  </si>
  <si>
    <t xml:space="preserve">Hot-work permit compliance</t>
  </si>
  <si>
    <t xml:space="preserve">Permits with all conditions met ÷ permits issued × 100</t>
  </si>
  <si>
    <t xml:space="preserve">S4</t>
  </si>
  <si>
    <t xml:space="preserve">Fire drill completion</t>
  </si>
  <si>
    <t xml:space="preserve">Drills completed ÷ drills planned (due to date) × 100</t>
  </si>
  <si>
    <t xml:space="preserve">17.1–17.5 are the SOP KPIs; S1–S4 are supporting indicators. Targets (yellow) are suggested – set them to your institution's approved values.</t>
  </si>
  <si>
    <t xml:space="preserve">Items needing attention</t>
  </si>
  <si>
    <t xml:space="preserve">Count</t>
  </si>
  <si>
    <t xml:space="preserve">Hazards to ESCALATE (critical open or overdue)</t>
  </si>
  <si>
    <t xml:space="preserve">Hazards awaiting effectiveness verification</t>
  </si>
  <si>
    <t xml:space="preserve">Critical deficiencies – latest checklist</t>
  </si>
  <si>
    <t xml:space="preserve">Non-compliant items – latest checklist</t>
  </si>
  <si>
    <t xml:space="preserve">Fire risk actions overdue</t>
  </si>
  <si>
    <t xml:space="preserve">Critical systems impaired with NO interim control</t>
  </si>
  <si>
    <t xml:space="preserve">Fire protection equipment impaired / service overdue</t>
  </si>
  <si>
    <t xml:space="preserve">Hot-work permits – STOP</t>
  </si>
  <si>
    <t xml:space="preserve">Flammable items needing action</t>
  </si>
  <si>
    <t xml:space="preserve">Hostel non-compliances</t>
  </si>
  <si>
    <t xml:space="preserve">Kitchen non-compliances</t>
  </si>
  <si>
    <t xml:space="preserve">Inspections missed</t>
  </si>
  <si>
    <t xml:space="preserve">Training expired / expiring / not trained</t>
  </si>
  <si>
    <t xml:space="preserve">Fire drills missed</t>
  </si>
  <si>
    <t xml:space="preserve">Hazard category</t>
  </si>
  <si>
    <t xml:space="preserve">Hazards reported</t>
  </si>
  <si>
    <t xml:space="preserve">Electrical</t>
  </si>
  <si>
    <t xml:space="preserve">Laboratory</t>
  </si>
  <si>
    <t xml:space="preserve">Kitchen</t>
  </si>
  <si>
    <t xml:space="preserve">Storage</t>
  </si>
  <si>
    <t xml:space="preserve">Hot Work</t>
  </si>
  <si>
    <t xml:space="preserve">Smoking/Open Flames</t>
  </si>
  <si>
    <t xml:space="preserve">Battery/Charging</t>
  </si>
  <si>
    <t xml:space="preserve">Construction</t>
  </si>
  <si>
    <t xml:space="preserve">Waste Management</t>
  </si>
  <si>
    <t xml:space="preserve">Fire Protection</t>
  </si>
  <si>
    <t xml:space="preserve">Fire Risk Assessment Register</t>
  </si>
  <si>
    <t xml:space="preserve">SOP Section 5 – hazards, risk ratings, existing controls, required actions, owners and completion dates</t>
  </si>
  <si>
    <t xml:space="preserve">Ref</t>
  </si>
  <si>
    <t xml:space="preserve">Area / location</t>
  </si>
  <si>
    <t xml:space="preserve">Premises type</t>
  </si>
  <si>
    <t xml:space="preserve">Hazard description</t>
  </si>
  <si>
    <t xml:space="preserve">Likelihood (1-5)</t>
  </si>
  <si>
    <t xml:space="preserve">Consequence (1-5)</t>
  </si>
  <si>
    <t xml:space="preserve">Risk score</t>
  </si>
  <si>
    <t xml:space="preserve">Risk level</t>
  </si>
  <si>
    <t xml:space="preserve">Existing controls</t>
  </si>
  <si>
    <t xml:space="preserve">Required action</t>
  </si>
  <si>
    <t xml:space="preserve">Owner</t>
  </si>
  <si>
    <t xml:space="preserve">Target date</t>
  </si>
  <si>
    <t xml:space="preserve">Completed date</t>
  </si>
  <si>
    <t xml:space="preserve">Residual likelihood</t>
  </si>
  <si>
    <t xml:space="preserve">Residual consequence</t>
  </si>
  <si>
    <t xml:space="preserve">Residual score</t>
  </si>
  <si>
    <t xml:space="preserve">Residual level</t>
  </si>
  <si>
    <t xml:space="preserve">Action status</t>
  </si>
  <si>
    <t xml:space="preserve">Chemistry Lab 2</t>
  </si>
  <si>
    <t xml:space="preserve">Laboratory / research centre</t>
  </si>
  <si>
    <t xml:space="preserve">Flammable solvents near hot plates</t>
  </si>
  <si>
    <t xml:space="preserve">Flammables cabinet; supervised use</t>
  </si>
  <si>
    <t xml:space="preserve">Relocate hot plates; set bench quantity limits</t>
  </si>
  <si>
    <t xml:space="preserve">Laboratory In-charge</t>
  </si>
  <si>
    <t xml:space="preserve">Boys Hostel B – rooms</t>
  </si>
  <si>
    <t xml:space="preserve">Hostel / residential</t>
  </si>
  <si>
    <t xml:space="preserve">Unapproved chargers and high-load heaters in rooms</t>
  </si>
  <si>
    <t xml:space="preserve">Hostel rules; monthly warden rounds</t>
  </si>
  <si>
    <t xml:space="preserve">Room inspections; confiscate prohibited devices; resident briefing</t>
  </si>
  <si>
    <t xml:space="preserve">Hostel Warden</t>
  </si>
  <si>
    <t xml:space="preserve">Central kitchen</t>
  </si>
  <si>
    <t xml:space="preserve">Kitchen / cafeteria</t>
  </si>
  <si>
    <t xml:space="preserve">Grease accumulation in hood and duct</t>
  </si>
  <si>
    <t xml:space="preserve">Weekly hood cleaning</t>
  </si>
  <si>
    <t xml:space="preserve">Quarterly duct cleaning by contractor</t>
  </si>
  <si>
    <t xml:space="preserve">Canteen/Kitchen Supervisor</t>
  </si>
  <si>
    <t xml:space="preserve">Main electrical room</t>
  </si>
  <si>
    <t xml:space="preserve">Electrical room / server room / data centre</t>
  </si>
  <si>
    <t xml:space="preserve">Combustible storage near LT panel</t>
  </si>
  <si>
    <t xml:space="preserve">Restricted access</t>
  </si>
  <si>
    <t xml:space="preserve">Clear storage; mark keep-clear zone</t>
  </si>
  <si>
    <t xml:space="preserve">Infrastructure/Maintenance Officer</t>
  </si>
  <si>
    <t xml:space="preserve">Library stack area</t>
  </si>
  <si>
    <t xml:space="preserve">Library / auditorium / hall</t>
  </si>
  <si>
    <t xml:space="preserve">Packaging and waste paper accumulation</t>
  </si>
  <si>
    <t xml:space="preserve">Daily housekeeping</t>
  </si>
  <si>
    <t xml:space="preserve">Department Head</t>
  </si>
  <si>
    <t xml:space="preserve">Scoring guide</t>
  </si>
  <si>
    <t xml:space="preserve">Score</t>
  </si>
  <si>
    <t xml:space="preserve">Likelihood of ignition / spread</t>
  </si>
  <si>
    <t xml:space="preserve">Consequence</t>
  </si>
  <si>
    <t xml:space="preserve">Rare</t>
  </si>
  <si>
    <t xml:space="preserve">Negligible – no injury, minor damage</t>
  </si>
  <si>
    <t xml:space="preserve">Unlikely</t>
  </si>
  <si>
    <t xml:space="preserve">Minor – first aid, local damage</t>
  </si>
  <si>
    <t xml:space="preserve">Possible</t>
  </si>
  <si>
    <t xml:space="preserve">Moderate – injury, room-level damage, disruption</t>
  </si>
  <si>
    <t xml:space="preserve">Likely</t>
  </si>
  <si>
    <t xml:space="preserve">Major – serious injury, building damage, evacuation</t>
  </si>
  <si>
    <t xml:space="preserve">Almost certain</t>
  </si>
  <si>
    <t xml:space="preserve">Severe – fatality, loss of critical facility</t>
  </si>
  <si>
    <t xml:space="preserve">Assessment should consider occupancy, evacuation difficulty, life safety, critical infrastructure and adequacy of existing controls (Section 5).</t>
  </si>
  <si>
    <t xml:space="preserve">Fire Safety Inspection Checklist</t>
  </si>
  <si>
    <t xml:space="preserve">SOP Section 13 – any critical deficiency affecting life safety shall be escalated promptly</t>
  </si>
  <si>
    <t xml:space="preserve">Building / area</t>
  </si>
  <si>
    <t xml:space="preserve">Academic Block A</t>
  </si>
  <si>
    <t xml:space="preserve">Inspection date</t>
  </si>
  <si>
    <t xml:space="preserve">Inspected by</t>
  </si>
  <si>
    <t xml:space="preserve">Fire and Safety Officer</t>
  </si>
  <si>
    <t xml:space="preserve">Inspection item</t>
  </si>
  <si>
    <t xml:space="preserve">Verification requirement</t>
  </si>
  <si>
    <t xml:space="preserve">Life-safety critical?</t>
  </si>
  <si>
    <t xml:space="preserve">Escalation</t>
  </si>
  <si>
    <t xml:space="preserve">Observation / action required</t>
  </si>
  <si>
    <t xml:space="preserve">Owner / target date</t>
  </si>
  <si>
    <t xml:space="preserve">Electrical installations</t>
  </si>
  <si>
    <t xml:space="preserve">No visible damage, unsafe connections or unresolved defects</t>
  </si>
  <si>
    <t xml:space="preserve">Compliant</t>
  </si>
  <si>
    <t xml:space="preserve">Electrical panels</t>
  </si>
  <si>
    <t xml:space="preserve">Accessible, protected and free from combustible storage</t>
  </si>
  <si>
    <t xml:space="preserve">Non-compliant</t>
  </si>
  <si>
    <t xml:space="preserve">No</t>
  </si>
  <si>
    <t xml:space="preserve">Cartons stored beside DB-3</t>
  </si>
  <si>
    <t xml:space="preserve">Maintenance – 14-Oct</t>
  </si>
  <si>
    <t xml:space="preserve">Laboratories</t>
  </si>
  <si>
    <t xml:space="preserve">Chemicals stored safely; equipment and ignition controls maintained</t>
  </si>
  <si>
    <t xml:space="preserve">Kitchens</t>
  </si>
  <si>
    <t xml:space="preserve">Cooking equipment, ventilation and fuel systems inspected</t>
  </si>
  <si>
    <t xml:space="preserve">N/A</t>
  </si>
  <si>
    <t xml:space="preserve">Storage areas</t>
  </si>
  <si>
    <t xml:space="preserve">Combustible materials controlled and chemicals appropriately stored</t>
  </si>
  <si>
    <t xml:space="preserve">Escape routes</t>
  </si>
  <si>
    <t xml:space="preserve">Corridors, staircases and exits unobstructed</t>
  </si>
  <si>
    <t xml:space="preserve">Fire doors</t>
  </si>
  <si>
    <t xml:space="preserve">Functional and not improperly wedged open</t>
  </si>
  <si>
    <t xml:space="preserve">Yes</t>
  </si>
  <si>
    <t xml:space="preserve">Fire door to stair 2 wedged open with chair</t>
  </si>
  <si>
    <t xml:space="preserve">Security Officer – immediate</t>
  </si>
  <si>
    <t xml:space="preserve">Fire equipment</t>
  </si>
  <si>
    <t xml:space="preserve">Accessible, inspected and within service requirements</t>
  </si>
  <si>
    <t xml:space="preserve">Detection and alarms</t>
  </si>
  <si>
    <t xml:space="preserve">Testing and maintenance records current</t>
  </si>
  <si>
    <t xml:space="preserve">Emergency lighting</t>
  </si>
  <si>
    <t xml:space="preserve">Operational according to the inspection schedule</t>
  </si>
  <si>
    <t xml:space="preserve">Waste</t>
  </si>
  <si>
    <t xml:space="preserve">Combustible waste removed appropriately</t>
  </si>
  <si>
    <t xml:space="preserve">Hot work</t>
  </si>
  <si>
    <t xml:space="preserve">Required permits and controls in place</t>
  </si>
  <si>
    <t xml:space="preserve">Contractors</t>
  </si>
  <si>
    <t xml:space="preserve">Safety instructions and supervision provided</t>
  </si>
  <si>
    <t xml:space="preserve">Training</t>
  </si>
  <si>
    <t xml:space="preserve">Required personnel training current</t>
  </si>
  <si>
    <t xml:space="preserve">Records</t>
  </si>
  <si>
    <t xml:space="preserve">Defects documented and corrective actions tracked</t>
  </si>
  <si>
    <t xml:space="preserve">Not applicable</t>
  </si>
  <si>
    <t xml:space="preserve">Not yet assessed</t>
  </si>
  <si>
    <t xml:space="preserve">Inspection compliance</t>
  </si>
  <si>
    <t xml:space="preserve">Critical deficiencies</t>
  </si>
  <si>
    <t xml:space="preserve">Outcome</t>
  </si>
  <si>
    <t xml:space="preserve">Fire Safety Inspection Schedule &amp; Log</t>
  </si>
  <si>
    <t xml:space="preserve">Drives KPI 17.1 Inspection Compliance and KPI 17.5 Critical Deficiency Rate</t>
  </si>
  <si>
    <t xml:space="preserve">Area / building</t>
  </si>
  <si>
    <t xml:space="preserve">Inspection type</t>
  </si>
  <si>
    <t xml:space="preserve">Planned date</t>
  </si>
  <si>
    <t xml:space="preserve">Date conducted</t>
  </si>
  <si>
    <t xml:space="preserve">Inspector</t>
  </si>
  <si>
    <t xml:space="preserve">Items assessed</t>
  </si>
  <si>
    <t xml:space="preserve">Items compliant</t>
  </si>
  <si>
    <t xml:space="preserve">Compliance %</t>
  </si>
  <si>
    <t xml:space="preserve">Remarks</t>
  </si>
  <si>
    <t xml:space="preserve">Academic block / classroom</t>
  </si>
  <si>
    <t xml:space="preserve">Scheduled fire safety inspection</t>
  </si>
  <si>
    <t xml:space="preserve">Boys Hostel B</t>
  </si>
  <si>
    <t xml:space="preserve">Hostel</t>
  </si>
  <si>
    <t xml:space="preserve">Electrical installation</t>
  </si>
  <si>
    <t xml:space="preserve">Electrical Engineer/Authorized Technician</t>
  </si>
  <si>
    <t xml:space="preserve">Library</t>
  </si>
  <si>
    <t xml:space="preserve">Fire protection systems</t>
  </si>
  <si>
    <t xml:space="preserve">Fire Hazard Reports &amp; Corrective Action Register</t>
  </si>
  <si>
    <t xml:space="preserve">SOP Section 15 – record → assess → protect → assign → deadline → verify → update register → escalate</t>
  </si>
  <si>
    <t xml:space="preserve">Date reported</t>
  </si>
  <si>
    <t xml:space="preserve">Location</t>
  </si>
  <si>
    <t xml:space="preserve">Description</t>
  </si>
  <si>
    <t xml:space="preserve">Reported by</t>
  </si>
  <si>
    <t xml:space="preserve">Severity</t>
  </si>
  <si>
    <t xml:space="preserve">Immediate protective measures</t>
  </si>
  <si>
    <t xml:space="preserve">Corrective action</t>
  </si>
  <si>
    <t xml:space="preserve">Deadline</t>
  </si>
  <si>
    <t xml:space="preserve">Date closed</t>
  </si>
  <si>
    <t xml:space="preserve">Effectiveness verified?</t>
  </si>
  <si>
    <t xml:space="preserve">Risk register updated?</t>
  </si>
  <si>
    <t xml:space="preserve">Escalate?</t>
  </si>
  <si>
    <t xml:space="preserve">Days open</t>
  </si>
  <si>
    <t xml:space="preserve">Boys Hostel B, Room 214</t>
  </si>
  <si>
    <t xml:space="preserve">E-scooter battery charging overnight in room</t>
  </si>
  <si>
    <t xml:space="preserve">High</t>
  </si>
  <si>
    <t xml:space="preserve">Charger removed; resident briefed</t>
  </si>
  <si>
    <t xml:space="preserve">Provide designated charging area; update hostel rules</t>
  </si>
  <si>
    <t xml:space="preserve">Gas hose cracked near burner 3</t>
  </si>
  <si>
    <t xml:space="preserve">Critical</t>
  </si>
  <si>
    <t xml:space="preserve">Gas supply isolated by technician</t>
  </si>
  <si>
    <t xml:space="preserve">Replace hose; inspect all connections</t>
  </si>
  <si>
    <t xml:space="preserve">Academic Block A, stair 2</t>
  </si>
  <si>
    <t xml:space="preserve">Fire door wedged open</t>
  </si>
  <si>
    <t xml:space="preserve">Wedge removed; door closed</t>
  </si>
  <si>
    <t xml:space="preserve">Install hold-open device linked to alarm or enforce closure</t>
  </si>
  <si>
    <t xml:space="preserve">Academic Block A, DB-3</t>
  </si>
  <si>
    <t xml:space="preserve">Cartons stored beside distribution board</t>
  </si>
  <si>
    <t xml:space="preserve">Medium</t>
  </si>
  <si>
    <t xml:space="preserve">Cartons moved</t>
  </si>
  <si>
    <t xml:space="preserve">Mark keep-clear zone; brief housekeeping</t>
  </si>
  <si>
    <t xml:space="preserve">Security Officer</t>
  </si>
  <si>
    <t xml:space="preserve">Mechanical workshop</t>
  </si>
  <si>
    <t xml:space="preserve">Workshop / store / maintenance</t>
  </si>
  <si>
    <t xml:space="preserve">Oily rags in open bin</t>
  </si>
  <si>
    <t xml:space="preserve">Faculty/Staff</t>
  </si>
  <si>
    <t xml:space="preserve">Rags removed</t>
  </si>
  <si>
    <t xml:space="preserve">Provide closed metal bin; daily disposal</t>
  </si>
  <si>
    <t xml:space="preserve">Fire Protection Equipment &amp; System Register</t>
  </si>
  <si>
    <t xml:space="preserve">SOP Section 12 – inspection, testing and servicing; interim controls when a critical system is impaired</t>
  </si>
  <si>
    <t xml:space="preserve">Asset ID</t>
  </si>
  <si>
    <t xml:space="preserve">Equipment / system</t>
  </si>
  <si>
    <t xml:space="preserve">Last inspected / serviced</t>
  </si>
  <si>
    <t xml:space="preserve">Service interval (days)</t>
  </si>
  <si>
    <t xml:space="preserve">Next due</t>
  </si>
  <si>
    <t xml:space="preserve">Functional?</t>
  </si>
  <si>
    <t xml:space="preserve">Critical system?</t>
  </si>
  <si>
    <t xml:space="preserve">Interim control in place (if impaired)?</t>
  </si>
  <si>
    <t xml:space="preserve">Serviced by</t>
  </si>
  <si>
    <t xml:space="preserve">FA-01</t>
  </si>
  <si>
    <t xml:space="preserve">Automatic fire detection system</t>
  </si>
  <si>
    <t xml:space="preserve">MCP-A</t>
  </si>
  <si>
    <t xml:space="preserve">Manual call point</t>
  </si>
  <si>
    <t xml:space="preserve">Academic Block A – all floors</t>
  </si>
  <si>
    <t xml:space="preserve">EL-A</t>
  </si>
  <si>
    <t xml:space="preserve">FE-014</t>
  </si>
  <si>
    <t xml:space="preserve">Fire extinguisher</t>
  </si>
  <si>
    <t xml:space="preserve">6-monthly service missed</t>
  </si>
  <si>
    <t xml:space="preserve">FE-022</t>
  </si>
  <si>
    <t xml:space="preserve">HY-02</t>
  </si>
  <si>
    <t xml:space="preserve">Hydrant / hose system</t>
  </si>
  <si>
    <t xml:space="preserve">Hostel B ground floor</t>
  </si>
  <si>
    <t xml:space="preserve">Pump pressure low; fire watch and extra extinguishers placed pending repair</t>
  </si>
  <si>
    <t xml:space="preserve">SPR-L</t>
  </si>
  <si>
    <t xml:space="preserve">Sprinkler / fixed suppression</t>
  </si>
  <si>
    <t xml:space="preserve">FD-S2</t>
  </si>
  <si>
    <t xml:space="preserve">Fire door / compartmentation</t>
  </si>
  <si>
    <t xml:space="preserve">Academic Block A stair 2</t>
  </si>
  <si>
    <t xml:space="preserve">Hot-Work Permit Register</t>
  </si>
  <si>
    <t xml:space="preserve">SOP Section 11 – hot work shall not be permitted where essential safety conditions cannot be achieved</t>
  </si>
  <si>
    <t xml:space="preserve">Permit no.</t>
  </si>
  <si>
    <t xml:space="preserve">Date</t>
  </si>
  <si>
    <t xml:space="preserve">Work type</t>
  </si>
  <si>
    <t xml:space="preserve">Contractor / person</t>
  </si>
  <si>
    <t xml:space="preserve">Authorization before work</t>
  </si>
  <si>
    <t xml:space="preserve">Work area inspected</t>
  </si>
  <si>
    <t xml:space="preserve">Combustibles removed / protected</t>
  </si>
  <si>
    <t xml:space="preserve">Concealed &amp; adjacent areas assessed</t>
  </si>
  <si>
    <t xml:space="preserve">Fire-protection equipment provided</t>
  </si>
  <si>
    <t xml:space="preserve">Competent fire watch assigned</t>
  </si>
  <si>
    <t xml:space="preserve">Contractor competency verified</t>
  </si>
  <si>
    <t xml:space="preserve">Cylinder &amp; equipment safety</t>
  </si>
  <si>
    <t xml:space="preserve">Post-work inspection done</t>
  </si>
  <si>
    <t xml:space="preserve">Permit documented &amp; closed</t>
  </si>
  <si>
    <t xml:space="preserve">Pre-work check</t>
  </si>
  <si>
    <t xml:space="preserve">Permit status</t>
  </si>
  <si>
    <t xml:space="preserve">HW-031</t>
  </si>
  <si>
    <t xml:space="preserve">Welding</t>
  </si>
  <si>
    <t xml:space="preserve">M/s Steelcraft</t>
  </si>
  <si>
    <t xml:space="preserve">HW-032</t>
  </si>
  <si>
    <t xml:space="preserve">Hostel B roof</t>
  </si>
  <si>
    <t xml:space="preserve">Cutting</t>
  </si>
  <si>
    <t xml:space="preserve">M/s Roofline</t>
  </si>
  <si>
    <t xml:space="preserve">HW-033</t>
  </si>
  <si>
    <t xml:space="preserve">Library annex (renovation)</t>
  </si>
  <si>
    <t xml:space="preserve">Grinding</t>
  </si>
  <si>
    <t xml:space="preserve">M/s BuildRight</t>
  </si>
  <si>
    <t xml:space="preserve">Flammable &amp; Combustible Material Inventory</t>
  </si>
  <si>
    <t xml:space="preserve">SOP Sections 7 &amp; 8 – controlled quantities, approved storage, segregation, labelling, secured cylinders</t>
  </si>
  <si>
    <t xml:space="preserve">Item ID</t>
  </si>
  <si>
    <t xml:space="preserve">Material</t>
  </si>
  <si>
    <t xml:space="preserve">Class</t>
  </si>
  <si>
    <t xml:space="preserve">Location / store</t>
  </si>
  <si>
    <t xml:space="preserve">Quantity held</t>
  </si>
  <si>
    <t xml:space="preserve">Max permitted</t>
  </si>
  <si>
    <t xml:space="preserve">Unit</t>
  </si>
  <si>
    <t xml:space="preserve">Approved storage?</t>
  </si>
  <si>
    <t xml:space="preserve">Segregated from ignition / incompatibles?</t>
  </si>
  <si>
    <t xml:space="preserve">Labelled &amp; closed?</t>
  </si>
  <si>
    <t xml:space="preserve">Cylinder secured? (gas only)</t>
  </si>
  <si>
    <t xml:space="preserve">Quantity check</t>
  </si>
  <si>
    <t xml:space="preserve">Compliance</t>
  </si>
  <si>
    <t xml:space="preserve">FL-01</t>
  </si>
  <si>
    <t xml:space="preserve">Acetone</t>
  </si>
  <si>
    <t xml:space="preserve">Flammable liquid</t>
  </si>
  <si>
    <t xml:space="preserve">Chem Lab 2 – flammables cabinet</t>
  </si>
  <si>
    <t xml:space="preserve">L</t>
  </si>
  <si>
    <t xml:space="preserve">FL-02</t>
  </si>
  <si>
    <t xml:space="preserve">Ethanol</t>
  </si>
  <si>
    <t xml:space="preserve">Chem Lab 2 – bench</t>
  </si>
  <si>
    <t xml:space="preserve">Bench quantity exceeds limit; return excess to cabinet</t>
  </si>
  <si>
    <t xml:space="preserve">FL-03</t>
  </si>
  <si>
    <t xml:space="preserve">LPG cylinders</t>
  </si>
  <si>
    <t xml:space="preserve">Flammable gas cylinder</t>
  </si>
  <si>
    <t xml:space="preserve">Central kitchen – cylinder bank</t>
  </si>
  <si>
    <t xml:space="preserve">nos</t>
  </si>
  <si>
    <t xml:space="preserve">FL-04</t>
  </si>
  <si>
    <t xml:space="preserve">Acetylene cylinder</t>
  </si>
  <si>
    <t xml:space="preserve">Chain missing on cylinder trolley</t>
  </si>
  <si>
    <t xml:space="preserve">FL-05</t>
  </si>
  <si>
    <t xml:space="preserve">Paint thinner</t>
  </si>
  <si>
    <t xml:space="preserve">Maintenance store</t>
  </si>
  <si>
    <t xml:space="preserve">Hostel &amp; Kitchen Fire-Prevention Checks</t>
  </si>
  <si>
    <t xml:space="preserve">SOP Sections 9 (residential facilities) and 10 (kitchens and cafeterias)</t>
  </si>
  <si>
    <t xml:space="preserve">Hostel / residential facility – SOP Section 9</t>
  </si>
  <si>
    <t xml:space="preserve">Facility / date</t>
  </si>
  <si>
    <t xml:space="preserve">Control</t>
  </si>
  <si>
    <t xml:space="preserve">Periodic inspection of electrical wiring and appliances</t>
  </si>
  <si>
    <t xml:space="preserve">Restrictions on unauthorized high-load electrical equipment</t>
  </si>
  <si>
    <t xml:space="preserve">Heaters found in 3 rooms</t>
  </si>
  <si>
    <t xml:space="preserve">Safe cooking arrangements; prohibited heating devices controlled</t>
  </si>
  <si>
    <t xml:space="preserve">Charging equipment and batteries managed safely</t>
  </si>
  <si>
    <t xml:space="preserve">Scooter battery charged in room 214</t>
  </si>
  <si>
    <t xml:space="preserve">Unauthorized open flames and smoking prohibited</t>
  </si>
  <si>
    <t xml:space="preserve">Combustible materials stored safely</t>
  </si>
  <si>
    <t xml:space="preserve">Corridors, staircases and emergency exits unobstructed</t>
  </si>
  <si>
    <t xml:space="preserve">Fire alarms and emergency lighting functioning</t>
  </si>
  <si>
    <t xml:space="preserve">Fire-safety instructions visible</t>
  </si>
  <si>
    <t xml:space="preserve">Orientation given to residents and hostel staff</t>
  </si>
  <si>
    <t xml:space="preserve">Kitchens, common rooms and electrical areas inspected</t>
  </si>
  <si>
    <t xml:space="preserve">Residents know how to report hazards and respond to alarms</t>
  </si>
  <si>
    <t xml:space="preserve">Non-compliant items</t>
  </si>
  <si>
    <t xml:space="preserve">Kitchen / cafeteria – SOP Section 10</t>
  </si>
  <si>
    <t xml:space="preserve">Cooking equipment inspected and maintained</t>
  </si>
  <si>
    <t xml:space="preserve">Grease accumulation cleaned</t>
  </si>
  <si>
    <t xml:space="preserve">Gas connections and fuel systems managed safely</t>
  </si>
  <si>
    <t xml:space="preserve">Combustibles kept away from hot surfaces</t>
  </si>
  <si>
    <t xml:space="preserve">Kitchen fire-protection equipment available</t>
  </si>
  <si>
    <t xml:space="preserve">Ventilation maintained</t>
  </si>
  <si>
    <t xml:space="preserve">Unauthorized cooking controlled</t>
  </si>
  <si>
    <t xml:space="preserve">Staff know emergency shutdown and gas-leak procedure</t>
  </si>
  <si>
    <t xml:space="preserve">Fuel installations inspected by competent personnel</t>
  </si>
  <si>
    <t xml:space="preserve">Fire Safety Training Records</t>
  </si>
  <si>
    <t xml:space="preserve">SOP Section 14 – drives KPI 17.3 Training Compliance</t>
  </si>
  <si>
    <t xml:space="preserve">Name</t>
  </si>
  <si>
    <t xml:space="preserve">ID / Staff no.</t>
  </si>
  <si>
    <t xml:space="preserve">Role</t>
  </si>
  <si>
    <t xml:space="preserve">Training required?</t>
  </si>
  <si>
    <t xml:space="preserve">Training module</t>
  </si>
  <si>
    <t xml:space="preserve">Date completed</t>
  </si>
  <si>
    <t xml:space="preserve">Validity (months)</t>
  </si>
  <si>
    <t xml:space="preserve">Expiry date</t>
  </si>
  <si>
    <t xml:space="preserve">Practical (supervised)?</t>
  </si>
  <si>
    <t xml:space="preserve">S. Reddy</t>
  </si>
  <si>
    <t xml:space="preserve">SO-001</t>
  </si>
  <si>
    <t xml:space="preserve">Fire extinguisher use and limitations</t>
  </si>
  <si>
    <t xml:space="preserve">P. Lakshmi</t>
  </si>
  <si>
    <t xml:space="preserve">HW-004</t>
  </si>
  <si>
    <t xml:space="preserve">Evacuation procedures</t>
  </si>
  <si>
    <t xml:space="preserve">R. Naidu</t>
  </si>
  <si>
    <t xml:space="preserve">KS-002</t>
  </si>
  <si>
    <t xml:space="preserve">Safe cooking and charging practices</t>
  </si>
  <si>
    <t xml:space="preserve">A. Kumar</t>
  </si>
  <si>
    <t xml:space="preserve">SEC-11</t>
  </si>
  <si>
    <t xml:space="preserve">Fire alarm recognition</t>
  </si>
  <si>
    <t xml:space="preserve">M/s Steelcraft crew</t>
  </si>
  <si>
    <t xml:space="preserve">CON-07</t>
  </si>
  <si>
    <t xml:space="preserve">Contractor/Vendor</t>
  </si>
  <si>
    <t xml:space="preserve">Hot-work controls</t>
  </si>
  <si>
    <t xml:space="preserve">Fire Drill Reports (SOP Section 18 records)</t>
  </si>
  <si>
    <t xml:space="preserve">Drill type</t>
  </si>
  <si>
    <t xml:space="preserve">Conducted?</t>
  </si>
  <si>
    <t xml:space="preserve">Occupants present</t>
  </si>
  <si>
    <t xml:space="preserve">Occupants accounted</t>
  </si>
  <si>
    <t xml:space="preserve">Accountability %</t>
  </si>
  <si>
    <t xml:space="preserve">Evacuation time (min)</t>
  </si>
  <si>
    <t xml:space="preserve">Drill status</t>
  </si>
  <si>
    <t xml:space="preserve">Observations / improvements</t>
  </si>
  <si>
    <t xml:space="preserve">Building evacuation</t>
  </si>
  <si>
    <t xml:space="preserve">Two students re-entered for belongings; repeat briefing</t>
  </si>
  <si>
    <t xml:space="preserve">Hostel night evacuation</t>
  </si>
  <si>
    <t xml:space="preserve">Kitchen fire</t>
  </si>
  <si>
    <t xml:space="preserve">Fire Prevention Roles &amp; Responsibilities – RACI</t>
  </si>
  <si>
    <t xml:space="preserve">SOP Section 16 – R Responsible · A Accountable · C Consulted · I Informed · A/R both</t>
  </si>
  <si>
    <t xml:space="preserve">Activity</t>
  </si>
  <si>
    <t xml:space="preserve">Head of Institution</t>
  </si>
  <si>
    <t xml:space="preserve">Fire &amp; Safety Officer</t>
  </si>
  <si>
    <t xml:space="preserve">Infrastructure Team</t>
  </si>
  <si>
    <t xml:space="preserve">Department / Lab Head</t>
  </si>
  <si>
    <t xml:space="preserve">Security</t>
  </si>
  <si>
    <t xml:space="preserve"># Accountable</t>
  </si>
  <si>
    <t xml:space="preserve">Check</t>
  </si>
  <si>
    <t xml:space="preserve">Approve fire-prevention policy</t>
  </si>
  <si>
    <t xml:space="preserve">A</t>
  </si>
  <si>
    <t xml:space="preserve">R</t>
  </si>
  <si>
    <t xml:space="preserve">C</t>
  </si>
  <si>
    <t xml:space="preserve">I</t>
  </si>
  <si>
    <t xml:space="preserve">Conduct fire-risk assessment</t>
  </si>
  <si>
    <t xml:space="preserve">A/R</t>
  </si>
  <si>
    <t xml:space="preserve">Inspect electrical systems</t>
  </si>
  <si>
    <t xml:space="preserve">Control laboratory hazards</t>
  </si>
  <si>
    <t xml:space="preserve">Maintain fire-protection systems</t>
  </si>
  <si>
    <t xml:space="preserve">Conduct awareness training</t>
  </si>
  <si>
    <t xml:space="preserve">Report and record hazards</t>
  </si>
  <si>
    <t xml:space="preserve">Verify corrective actions</t>
  </si>
  <si>
    <t xml:space="preserve">Review fire-prevention performance</t>
  </si>
  <si>
    <t xml:space="preserve">The institution may adjust the RACI matrix to match its organizational structure and formally assigned authority (Section 16).</t>
  </si>
  <si>
    <t xml:space="preserve">Yes / No</t>
  </si>
  <si>
    <t xml:space="preserve">Yes / No / N/A</t>
  </si>
  <si>
    <t xml:space="preserve">Fire protection equipment</t>
  </si>
  <si>
    <t xml:space="preserve">Roles</t>
  </si>
  <si>
    <t xml:space="preserve">Training modules</t>
  </si>
  <si>
    <t xml:space="preserve">Hot work type</t>
  </si>
  <si>
    <t xml:space="preserve">Material class</t>
  </si>
  <si>
    <t xml:space="preserve">RACI</t>
  </si>
  <si>
    <t xml:space="preserve">Score (1-5)</t>
  </si>
  <si>
    <t xml:space="preserve">Parameter</t>
  </si>
  <si>
    <t xml:space="preserve">Value</t>
  </si>
  <si>
    <t xml:space="preserve">Low</t>
  </si>
  <si>
    <t xml:space="preserve">Common causes of campus fires</t>
  </si>
  <si>
    <t xml:space="preserve">Low risk: score up to</t>
  </si>
  <si>
    <t xml:space="preserve">Electrical and laboratory hazards</t>
  </si>
  <si>
    <t xml:space="preserve">Medium risk: score up to</t>
  </si>
  <si>
    <t xml:space="preserve">Audible / visual alarm</t>
  </si>
  <si>
    <t xml:space="preserve">Safe storage of flammable materials</t>
  </si>
  <si>
    <t xml:space="preserve">Oxidizer</t>
  </si>
  <si>
    <t xml:space="preserve">Laboratory fire</t>
  </si>
  <si>
    <t xml:space="preserve">High risk: score up to</t>
  </si>
  <si>
    <t xml:space="preserve">Soldering</t>
  </si>
  <si>
    <t xml:space="preserve">Combustible solid</t>
  </si>
  <si>
    <t xml:space="preserve">'Due soon' window (days)</t>
  </si>
  <si>
    <t xml:space="preserve">Brazing</t>
  </si>
  <si>
    <t xml:space="preserve">Other hazardous</t>
  </si>
  <si>
    <t xml:space="preserve">Tabletop exercise</t>
  </si>
  <si>
    <t xml:space="preserve">Training 'expiring' window (days)</t>
  </si>
  <si>
    <t xml:space="preserve">Emergency reporting</t>
  </si>
  <si>
    <t xml:space="preserve">Storage area</t>
  </si>
  <si>
    <t xml:space="preserve">Other</t>
  </si>
  <si>
    <t xml:space="preserve">Hot-work site</t>
  </si>
  <si>
    <t xml:space="preserve">Administrative office</t>
  </si>
  <si>
    <t xml:space="preserve">Contractor / construction site</t>
  </si>
  <si>
    <t xml:space="preserve">Transport / parking / vehicle workshop</t>
  </si>
  <si>
    <t xml:space="preserve">Smoke-control system</t>
  </si>
  <si>
    <t xml:space="preserve">Construction / renovation site</t>
  </si>
  <si>
    <t xml:space="preserve">Contractor responsibilities</t>
  </si>
  <si>
    <t xml:space="preserve">Temporary structure / event venue</t>
  </si>
  <si>
    <t xml:space="preserve">Student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</si>
</sst>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.0%"/>
    <numFmt numFmtId="167" formatCode="0.00"/>
    <numFmt numFmtId="168" formatCode="0"/>
    <numFmt numFmtId="169" formatCode="0%"/>
    <numFmt numFmtId="170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DEBF7"/>
        </patternFill>
      </fill>
    </dxf>
    <dxf>
      <font>
        <name val="Arial"/>
        <charset val="1"/>
        <family val="0"/>
        <color rgb="FF595959"/>
      </font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1F2"/>
      <rgbColor rgb="FFF9F9F9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Fire hazards reported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Dashboard!C36</c:f>
              <c:strCache>
                <c:ptCount val="1"/>
                <c:pt idx="0">
                  <c:v>Hazards reported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Dashboard!$B$37:$B$46</c:f>
              <c:strCache>
                <c:ptCount val="10"/>
                <c:pt idx="0">
                  <c:v>Electrical</c:v>
                </c:pt>
                <c:pt idx="1">
                  <c:v>Laboratory</c:v>
                </c:pt>
                <c:pt idx="2">
                  <c:v>Kitchen</c:v>
                </c:pt>
                <c:pt idx="3">
                  <c:v>Storage</c:v>
                </c:pt>
                <c:pt idx="4">
                  <c:v>Hot Work</c:v>
                </c:pt>
                <c:pt idx="5">
                  <c:v>Smoking/Open Flames</c:v>
                </c:pt>
                <c:pt idx="6">
                  <c:v>Battery/Charging</c:v>
                </c:pt>
                <c:pt idx="7">
                  <c:v>Construction</c:v>
                </c:pt>
                <c:pt idx="8">
                  <c:v>Waste Management</c:v>
                </c:pt>
                <c:pt idx="9">
                  <c:v>Fire Protection</c:v>
                </c:pt>
              </c:strCache>
            </c:strRef>
          </c:cat>
          <c:val>
            <c:numRef>
              <c:f>Dashboard!$C$37:$C$46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92443576"/>
        <c:axId val="93365169"/>
      </c:barChart>
      <c:catAx>
        <c:axId val="9244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65169"/>
        <c:crosses val="autoZero"/>
        <c:auto val="1"/>
        <c:lblAlgn val="ctr"/>
        <c:lblOffset val="100"/>
        <c:noMultiLvlLbl val="0"/>
      </c:catAx>
      <c:valAx>
        <c:axId val="93365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35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25</xdr:row>
      <xdr:rowOff>189720</xdr:rowOff>
    </xdr:from>
    <xdr:to>
      <xdr:col>9</xdr:col>
      <xdr:colOff>73080</xdr:colOff>
      <xdr:row>39</xdr:row>
      <xdr:rowOff>101520</xdr:rowOff>
    </xdr:to>
    <xdr:graphicFrame>
      <xdr:nvGraphicFramePr>
        <xdr:cNvPr id="0" name="Chart 1"/>
        <xdr:cNvGraphicFramePr/>
      </xdr:nvGraphicFramePr>
      <xdr:xfrm>
        <a:off x="6273000" y="6877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26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4" t="s">
        <v>15</v>
      </c>
      <c r="B11" s="4"/>
    </row>
    <row r="12" customFormat="false" ht="15" hidden="false" customHeight="false" outlineLevel="0" collapsed="false">
      <c r="A12" s="5" t="s">
        <v>16</v>
      </c>
      <c r="B12" s="6" t="s">
        <v>17</v>
      </c>
    </row>
    <row r="13" customFormat="false" ht="26.85" hidden="false" customHeight="false" outlineLevel="0" collapsed="false">
      <c r="A13" s="5" t="s">
        <v>18</v>
      </c>
      <c r="B13" s="6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5" t="s">
        <v>32</v>
      </c>
      <c r="B20" s="6" t="s">
        <v>33</v>
      </c>
    </row>
    <row r="21" customFormat="false" ht="1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5" t="s">
        <v>36</v>
      </c>
      <c r="B22" s="6" t="s">
        <v>37</v>
      </c>
    </row>
    <row r="23" customFormat="false" ht="15" hidden="false" customHeight="false" outlineLevel="0" collapsed="false">
      <c r="A23" s="5" t="s">
        <v>38</v>
      </c>
      <c r="B23" s="6" t="s">
        <v>39</v>
      </c>
    </row>
    <row r="24" customFormat="false" ht="15" hidden="false" customHeight="false" outlineLevel="0" collapsed="false">
      <c r="A24" s="5" t="s">
        <v>40</v>
      </c>
      <c r="B24" s="6" t="s">
        <v>41</v>
      </c>
    </row>
  </sheetData>
  <mergeCells count="2">
    <mergeCell ref="A4:B4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42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9" t="s">
        <v>44</v>
      </c>
      <c r="C4" s="10" t="s">
        <v>45</v>
      </c>
      <c r="D4" s="10"/>
      <c r="E4" s="10"/>
      <c r="F4" s="2"/>
      <c r="G4" s="2"/>
      <c r="H4" s="2"/>
    </row>
    <row r="5" customFormat="false" ht="15" hidden="false" customHeight="false" outlineLevel="0" collapsed="false">
      <c r="A5" s="2"/>
      <c r="B5" s="9" t="s">
        <v>11</v>
      </c>
      <c r="C5" s="11" t="n">
        <f aca="true">TODAY()</f>
        <v>46305</v>
      </c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31.5" hidden="false" customHeight="true" outlineLevel="0" collapsed="false">
      <c r="A7" s="12" t="s">
        <v>46</v>
      </c>
      <c r="B7" s="12" t="s">
        <v>47</v>
      </c>
      <c r="C7" s="12" t="s">
        <v>48</v>
      </c>
      <c r="D7" s="12" t="s">
        <v>49</v>
      </c>
      <c r="E7" s="12" t="s">
        <v>50</v>
      </c>
      <c r="F7" s="12" t="s">
        <v>51</v>
      </c>
      <c r="G7" s="12" t="s">
        <v>52</v>
      </c>
      <c r="H7" s="12" t="s">
        <v>53</v>
      </c>
    </row>
    <row r="8" customFormat="false" ht="26.85" hidden="false" customHeight="false" outlineLevel="0" collapsed="false">
      <c r="A8" s="13" t="s">
        <v>54</v>
      </c>
      <c r="B8" s="14" t="s">
        <v>55</v>
      </c>
      <c r="C8" s="15" t="s">
        <v>56</v>
      </c>
      <c r="D8" s="16" t="n">
        <f aca="false">IFERROR(COUNTIF('Inspection Schedule'!K5:K154,"Completed")/(COUNTIF('Inspection Schedule'!K5:K154,"Completed")+COUNTIF('Inspection Schedule'!K5:K154,"Missed")),"")</f>
        <v>0.75</v>
      </c>
      <c r="E8" s="17" t="n">
        <v>0.95</v>
      </c>
      <c r="F8" s="13" t="s">
        <v>57</v>
      </c>
      <c r="G8" s="18" t="str">
        <f aca="false">IF(D8="","No data",IF(D8&gt;=E8,"On target",IF(D8&gt;=E8*0.9,"Watch","Action needed")))</f>
        <v>Action needed</v>
      </c>
      <c r="H8" s="15" t="s">
        <v>22</v>
      </c>
    </row>
    <row r="9" customFormat="false" ht="26.85" hidden="false" customHeight="false" outlineLevel="0" collapsed="false">
      <c r="A9" s="13" t="s">
        <v>58</v>
      </c>
      <c r="B9" s="14" t="s">
        <v>59</v>
      </c>
      <c r="C9" s="15" t="s">
        <v>60</v>
      </c>
      <c r="D9" s="16" t="n">
        <f aca="false">IFERROR(COUNTIF('Hazard Reports &amp; CAPA'!P5:P64,"Closed")/COUNT('Hazard Reports &amp; CAPA'!B5:B64),"")</f>
        <v>0.2</v>
      </c>
      <c r="E9" s="17" t="n">
        <v>0.9</v>
      </c>
      <c r="F9" s="13" t="s">
        <v>57</v>
      </c>
      <c r="G9" s="18" t="str">
        <f aca="false">IF(D9="","No data",IF(D9&gt;=E9,"On target",IF(D9&gt;=E9*0.9,"Watch","Action needed")))</f>
        <v>Action needed</v>
      </c>
      <c r="H9" s="15" t="s">
        <v>24</v>
      </c>
    </row>
    <row r="10" customFormat="false" ht="26.85" hidden="false" customHeight="false" outlineLevel="0" collapsed="false">
      <c r="A10" s="13" t="s">
        <v>61</v>
      </c>
      <c r="B10" s="14" t="s">
        <v>62</v>
      </c>
      <c r="C10" s="15" t="s">
        <v>63</v>
      </c>
      <c r="D10" s="16" t="n">
        <f aca="false">IFERROR(COUNTIF('Training Records'!I5:I204,"Current")/COUNTIF('Training Records'!D5:D204,"Yes"),"")</f>
        <v>0.4</v>
      </c>
      <c r="E10" s="17" t="n">
        <v>0.95</v>
      </c>
      <c r="F10" s="13" t="s">
        <v>57</v>
      </c>
      <c r="G10" s="18" t="str">
        <f aca="false">IF(D10="","No data",IF(D10&gt;=E10,"On target",IF(D10&gt;=E10*0.9,"Watch","Action needed")))</f>
        <v>Action needed</v>
      </c>
      <c r="H10" s="15" t="s">
        <v>34</v>
      </c>
    </row>
    <row r="11" customFormat="false" ht="26.85" hidden="false" customHeight="false" outlineLevel="0" collapsed="false">
      <c r="A11" s="13" t="s">
        <v>64</v>
      </c>
      <c r="B11" s="14" t="s">
        <v>65</v>
      </c>
      <c r="C11" s="15" t="s">
        <v>66</v>
      </c>
      <c r="D11" s="16" t="n">
        <f aca="false">IFERROR((COUNTIF('Fire Protection Register'!J5:J154,"In service")+COUNTIF('Fire Protection Register'!J5:J154,"Due soon"))/COUNTA('Fire Protection Register'!B5:B154),"")</f>
        <v>0.625</v>
      </c>
      <c r="E11" s="17" t="n">
        <v>1</v>
      </c>
      <c r="F11" s="13" t="s">
        <v>57</v>
      </c>
      <c r="G11" s="18" t="str">
        <f aca="false">IF(D11="","No data",IF(D11&gt;=E11,"On target",IF(D11&gt;=E11*0.9,"Watch","Action needed")))</f>
        <v>Action needed</v>
      </c>
      <c r="H11" s="15" t="s">
        <v>26</v>
      </c>
    </row>
    <row r="12" customFormat="false" ht="26.85" hidden="false" customHeight="false" outlineLevel="0" collapsed="false">
      <c r="A12" s="13" t="s">
        <v>67</v>
      </c>
      <c r="B12" s="14" t="s">
        <v>68</v>
      </c>
      <c r="C12" s="15" t="s">
        <v>69</v>
      </c>
      <c r="D12" s="19" t="n">
        <f aca="false">IFERROR(SUM('Inspection Schedule'!J5:J154)/COUNTIF('Inspection Schedule'!K5:K154,"Completed"),"")</f>
        <v>0.333333333333333</v>
      </c>
      <c r="E12" s="20" t="n">
        <v>0</v>
      </c>
      <c r="F12" s="13" t="s">
        <v>70</v>
      </c>
      <c r="G12" s="18" t="str">
        <f aca="false">IF(D12="","No data",IF(D12&lt;=E12,"On target","Action needed"))</f>
        <v>Action needed</v>
      </c>
      <c r="H12" s="15" t="s">
        <v>22</v>
      </c>
    </row>
    <row r="13" customFormat="false" ht="15" hidden="false" customHeight="false" outlineLevel="0" collapsed="false">
      <c r="A13" s="13" t="s">
        <v>71</v>
      </c>
      <c r="B13" s="14" t="s">
        <v>72</v>
      </c>
      <c r="C13" s="15" t="s">
        <v>73</v>
      </c>
      <c r="D13" s="21" t="n">
        <f aca="false">COUNTIF('Fire Risk Register'!R5:R64,"High")+COUNTIF('Fire Risk Register'!R5:R64,"Critical")</f>
        <v>0</v>
      </c>
      <c r="E13" s="22" t="n">
        <v>0</v>
      </c>
      <c r="F13" s="13" t="s">
        <v>70</v>
      </c>
      <c r="G13" s="18" t="str">
        <f aca="false">IF(D13="","No data",IF(D13&lt;=E13,"On target","Action needed"))</f>
        <v>On target</v>
      </c>
      <c r="H13" s="15" t="s">
        <v>18</v>
      </c>
    </row>
    <row r="14" customFormat="false" ht="26.85" hidden="false" customHeight="false" outlineLevel="0" collapsed="false">
      <c r="A14" s="13" t="s">
        <v>74</v>
      </c>
      <c r="B14" s="14" t="s">
        <v>75</v>
      </c>
      <c r="C14" s="15" t="s">
        <v>76</v>
      </c>
      <c r="D14" s="16" t="n">
        <f aca="false">IFERROR(COUNTIF('Flammable Inventory'!M5:M104,"Compliant")/COUNTA('Flammable Inventory'!B5:B104),"")</f>
        <v>0.6</v>
      </c>
      <c r="E14" s="17" t="n">
        <v>1</v>
      </c>
      <c r="F14" s="13" t="s">
        <v>57</v>
      </c>
      <c r="G14" s="18" t="str">
        <f aca="false">IF(D14="","No data",IF(D14&gt;=E14,"On target",IF(D14&gt;=E14*0.9,"Watch","Action needed")))</f>
        <v>Action needed</v>
      </c>
      <c r="H14" s="15" t="s">
        <v>30</v>
      </c>
    </row>
    <row r="15" customFormat="false" ht="26.85" hidden="false" customHeight="false" outlineLevel="0" collapsed="false">
      <c r="A15" s="13" t="s">
        <v>77</v>
      </c>
      <c r="B15" s="14" t="s">
        <v>78</v>
      </c>
      <c r="C15" s="15" t="s">
        <v>79</v>
      </c>
      <c r="D15" s="16" t="n">
        <f aca="false">IFERROR(COUNTIF('Hot-Work Permits'!P5:P64,"All conditions met")/COUNTA('Hot-Work Permits'!C5:C64),"")</f>
        <v>0.666666666666667</v>
      </c>
      <c r="E15" s="17" t="n">
        <v>1</v>
      </c>
      <c r="F15" s="13" t="s">
        <v>57</v>
      </c>
      <c r="G15" s="18" t="str">
        <f aca="false">IF(D15="","No data",IF(D15&gt;=E15,"On target",IF(D15&gt;=E15*0.9,"Watch","Action needed")))</f>
        <v>Action needed</v>
      </c>
      <c r="H15" s="15" t="s">
        <v>28</v>
      </c>
    </row>
    <row r="16" customFormat="false" ht="26.85" hidden="false" customHeight="false" outlineLevel="0" collapsed="false">
      <c r="A16" s="13" t="s">
        <v>80</v>
      </c>
      <c r="B16" s="14" t="s">
        <v>81</v>
      </c>
      <c r="C16" s="15" t="s">
        <v>82</v>
      </c>
      <c r="D16" s="16" t="n">
        <f aca="false">IFERROR(COUNTIF('Fire Drill Register'!J5:J34,"Completed")/(COUNTIF('Fire Drill Register'!J5:J34,"Completed")+COUNTIF('Fire Drill Register'!J5:J34,"Missed")),"")</f>
        <v>0.5</v>
      </c>
      <c r="E16" s="17" t="n">
        <v>1</v>
      </c>
      <c r="F16" s="13" t="s">
        <v>57</v>
      </c>
      <c r="G16" s="18" t="str">
        <f aca="false">IF(D16="","No data",IF(D16&gt;=E16,"On target",IF(D16&gt;=E16*0.9,"Watch","Action needed")))</f>
        <v>Action needed</v>
      </c>
      <c r="H16" s="15" t="s">
        <v>36</v>
      </c>
    </row>
    <row r="17" customFormat="false" ht="15" hidden="false" customHeight="false" outlineLevel="0" collapsed="false">
      <c r="A17" s="2"/>
      <c r="B17" s="23" t="s">
        <v>83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12" t="s">
        <v>84</v>
      </c>
      <c r="C19" s="12" t="s">
        <v>53</v>
      </c>
      <c r="D19" s="12" t="s">
        <v>85</v>
      </c>
      <c r="E19" s="2"/>
      <c r="F19" s="2"/>
      <c r="G19" s="2"/>
      <c r="H19" s="2"/>
    </row>
    <row r="20" customFormat="false" ht="26.85" hidden="false" customHeight="false" outlineLevel="0" collapsed="false">
      <c r="A20" s="2"/>
      <c r="B20" s="6" t="s">
        <v>86</v>
      </c>
      <c r="C20" s="15" t="s">
        <v>24</v>
      </c>
      <c r="D20" s="21" t="n">
        <f aca="false">COUNTIF('Hazard Reports &amp; CAPA'!Q5:Q64,"ESCALATE")</f>
        <v>2</v>
      </c>
      <c r="E20" s="2"/>
      <c r="F20" s="2"/>
      <c r="G20" s="2"/>
      <c r="H20" s="2"/>
    </row>
    <row r="21" customFormat="false" ht="26.85" hidden="false" customHeight="false" outlineLevel="0" collapsed="false">
      <c r="A21" s="2"/>
      <c r="B21" s="6" t="s">
        <v>87</v>
      </c>
      <c r="C21" s="15" t="s">
        <v>24</v>
      </c>
      <c r="D21" s="21" t="n">
        <f aca="false">COUNTIF('Hazard Reports &amp; CAPA'!P5:P64,"Awaiting verification")</f>
        <v>1</v>
      </c>
      <c r="E21" s="2"/>
      <c r="F21" s="2"/>
      <c r="G21" s="2"/>
      <c r="H21" s="2"/>
    </row>
    <row r="22" customFormat="false" ht="15" hidden="false" customHeight="false" outlineLevel="0" collapsed="false">
      <c r="A22" s="2"/>
      <c r="B22" s="6" t="s">
        <v>88</v>
      </c>
      <c r="C22" s="15" t="s">
        <v>20</v>
      </c>
      <c r="D22" s="21" t="n">
        <f aca="false">'Inspection Checklist'!$D$30</f>
        <v>1</v>
      </c>
      <c r="E22" s="2"/>
      <c r="F22" s="2"/>
      <c r="G22" s="2"/>
      <c r="H22" s="2"/>
    </row>
    <row r="23" customFormat="false" ht="15" hidden="false" customHeight="false" outlineLevel="0" collapsed="false">
      <c r="A23" s="2"/>
      <c r="B23" s="6" t="s">
        <v>89</v>
      </c>
      <c r="C23" s="15" t="s">
        <v>20</v>
      </c>
      <c r="D23" s="21" t="n">
        <f aca="false">'Inspection Checklist'!$D$26</f>
        <v>2</v>
      </c>
      <c r="E23" s="2"/>
      <c r="F23" s="2"/>
      <c r="G23" s="2"/>
      <c r="H23" s="2"/>
    </row>
    <row r="24" customFormat="false" ht="15" hidden="false" customHeight="false" outlineLevel="0" collapsed="false">
      <c r="A24" s="2"/>
      <c r="B24" s="6" t="s">
        <v>90</v>
      </c>
      <c r="C24" s="15" t="s">
        <v>18</v>
      </c>
      <c r="D24" s="21" t="n">
        <f aca="false">COUNTIF('Fire Risk Register'!S5:S64,"Overdue")</f>
        <v>1</v>
      </c>
      <c r="E24" s="2"/>
      <c r="F24" s="2"/>
      <c r="G24" s="2"/>
      <c r="H24" s="2"/>
    </row>
    <row r="25" customFormat="false" ht="26.85" hidden="false" customHeight="false" outlineLevel="0" collapsed="false">
      <c r="A25" s="2"/>
      <c r="B25" s="6" t="s">
        <v>91</v>
      </c>
      <c r="C25" s="15" t="s">
        <v>26</v>
      </c>
      <c r="D25" s="21" t="n">
        <f aca="false">COUNTIF('Fire Protection Register'!J5:J154,"IMPAIRED – NO INTERIM CONTROL")</f>
        <v>0</v>
      </c>
      <c r="E25" s="2"/>
      <c r="F25" s="2"/>
      <c r="G25" s="2"/>
      <c r="H25" s="2"/>
    </row>
    <row r="26" customFormat="false" ht="26.85" hidden="false" customHeight="false" outlineLevel="0" collapsed="false">
      <c r="A26" s="2"/>
      <c r="B26" s="6" t="s">
        <v>92</v>
      </c>
      <c r="C26" s="15" t="s">
        <v>26</v>
      </c>
      <c r="D26" s="21" t="n">
        <f aca="false">COUNTIF('Fire Protection Register'!J5:J154,"Service overdue")+COUNTIF('Fire Protection Register'!J5:J154,"Impaired*")</f>
        <v>3</v>
      </c>
      <c r="E26" s="2"/>
      <c r="F26" s="2"/>
      <c r="G26" s="2"/>
      <c r="H26" s="2"/>
    </row>
    <row r="27" customFormat="false" ht="15" hidden="false" customHeight="false" outlineLevel="0" collapsed="false">
      <c r="A27" s="2"/>
      <c r="B27" s="6" t="s">
        <v>93</v>
      </c>
      <c r="C27" s="15" t="s">
        <v>28</v>
      </c>
      <c r="D27" s="21" t="n">
        <f aca="false">COUNTIF('Hot-Work Permits'!Q5:Q64,"STOP – do not permit")</f>
        <v>1</v>
      </c>
      <c r="E27" s="2"/>
      <c r="F27" s="2"/>
      <c r="G27" s="2"/>
      <c r="H27" s="2"/>
    </row>
    <row r="28" customFormat="false" ht="15" hidden="false" customHeight="false" outlineLevel="0" collapsed="false">
      <c r="A28" s="2"/>
      <c r="B28" s="6" t="s">
        <v>94</v>
      </c>
      <c r="C28" s="15" t="s">
        <v>30</v>
      </c>
      <c r="D28" s="21" t="n">
        <f aca="false">COUNTIF('Flammable Inventory'!M5:M104,"Action needed")</f>
        <v>2</v>
      </c>
      <c r="E28" s="2"/>
      <c r="F28" s="2"/>
      <c r="G28" s="2"/>
      <c r="H28" s="2"/>
    </row>
    <row r="29" customFormat="false" ht="15" hidden="false" customHeight="false" outlineLevel="0" collapsed="false">
      <c r="A29" s="2"/>
      <c r="B29" s="6" t="s">
        <v>95</v>
      </c>
      <c r="C29" s="15" t="s">
        <v>32</v>
      </c>
      <c r="D29" s="21" t="n">
        <f aca="false">'Hostel &amp; Kitchen Checks'!C19</f>
        <v>2</v>
      </c>
      <c r="E29" s="2"/>
      <c r="F29" s="2"/>
      <c r="G29" s="2"/>
      <c r="H29" s="2"/>
    </row>
    <row r="30" customFormat="false" ht="15" hidden="false" customHeight="false" outlineLevel="0" collapsed="false">
      <c r="A30" s="2"/>
      <c r="B30" s="6" t="s">
        <v>96</v>
      </c>
      <c r="C30" s="15" t="s">
        <v>32</v>
      </c>
      <c r="D30" s="21" t="n">
        <f aca="false">'Hostel &amp; Kitchen Checks'!C35</f>
        <v>0</v>
      </c>
      <c r="E30" s="2"/>
      <c r="F30" s="2"/>
      <c r="G30" s="2"/>
      <c r="H30" s="2"/>
    </row>
    <row r="31" customFormat="false" ht="15" hidden="false" customHeight="false" outlineLevel="0" collapsed="false">
      <c r="A31" s="2"/>
      <c r="B31" s="6" t="s">
        <v>97</v>
      </c>
      <c r="C31" s="15" t="s">
        <v>22</v>
      </c>
      <c r="D31" s="21" t="n">
        <f aca="false">COUNTIF('Inspection Schedule'!K5:K154,"Missed")</f>
        <v>1</v>
      </c>
      <c r="E31" s="2"/>
      <c r="F31" s="2"/>
      <c r="G31" s="2"/>
      <c r="H31" s="2"/>
    </row>
    <row r="32" customFormat="false" ht="26.85" hidden="false" customHeight="false" outlineLevel="0" collapsed="false">
      <c r="A32" s="2"/>
      <c r="B32" s="6" t="s">
        <v>98</v>
      </c>
      <c r="C32" s="15" t="s">
        <v>34</v>
      </c>
      <c r="D32" s="21" t="n">
        <f aca="false">COUNTIF('Training Records'!I5:I204,"Expired")+COUNTIF('Training Records'!I5:I204,"Expiring")+COUNTIF('Training Records'!I5:I204,"Not trained")</f>
        <v>3</v>
      </c>
      <c r="E32" s="2"/>
      <c r="F32" s="2"/>
      <c r="G32" s="2"/>
      <c r="H32" s="2"/>
    </row>
    <row r="33" customFormat="false" ht="15" hidden="false" customHeight="false" outlineLevel="0" collapsed="false">
      <c r="A33" s="2"/>
      <c r="B33" s="6" t="s">
        <v>99</v>
      </c>
      <c r="C33" s="15" t="s">
        <v>36</v>
      </c>
      <c r="D33" s="21" t="n">
        <f aca="false">COUNTIF('Fire Drill Register'!J5:J34,"Missed")</f>
        <v>1</v>
      </c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12" t="s">
        <v>100</v>
      </c>
      <c r="C36" s="12" t="s">
        <v>101</v>
      </c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6" t="s">
        <v>102</v>
      </c>
      <c r="C37" s="21" t="n">
        <f aca="false">COUNTIF('Hazard Reports &amp; CAPA'!E5:E64,B37)</f>
        <v>0</v>
      </c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6" t="s">
        <v>103</v>
      </c>
      <c r="C38" s="21" t="n">
        <f aca="false">COUNTIF('Hazard Reports &amp; CAPA'!E5:E64,B38)</f>
        <v>0</v>
      </c>
      <c r="D38" s="2"/>
      <c r="E38" s="2"/>
      <c r="F38" s="2"/>
      <c r="G38" s="2"/>
      <c r="H38" s="2"/>
    </row>
    <row r="39" customFormat="false" ht="15" hidden="false" customHeight="false" outlineLevel="0" collapsed="false">
      <c r="A39" s="2"/>
      <c r="B39" s="6" t="s">
        <v>104</v>
      </c>
      <c r="C39" s="21" t="n">
        <f aca="false">COUNTIF('Hazard Reports &amp; CAPA'!E5:E64,B39)</f>
        <v>1</v>
      </c>
      <c r="D39" s="2"/>
      <c r="E39" s="2"/>
      <c r="F39" s="2"/>
      <c r="G39" s="2"/>
      <c r="H39" s="2"/>
    </row>
    <row r="40" customFormat="false" ht="15" hidden="false" customHeight="false" outlineLevel="0" collapsed="false">
      <c r="A40" s="2"/>
      <c r="B40" s="6" t="s">
        <v>105</v>
      </c>
      <c r="C40" s="21" t="n">
        <f aca="false">COUNTIF('Hazard Reports &amp; CAPA'!E5:E64,B40)</f>
        <v>1</v>
      </c>
      <c r="D40" s="2"/>
      <c r="E40" s="2"/>
      <c r="F40" s="2"/>
      <c r="G40" s="2"/>
      <c r="H40" s="2"/>
    </row>
    <row r="41" customFormat="false" ht="15" hidden="false" customHeight="false" outlineLevel="0" collapsed="false">
      <c r="A41" s="2"/>
      <c r="B41" s="6" t="s">
        <v>106</v>
      </c>
      <c r="C41" s="21" t="n">
        <f aca="false">COUNTIF('Hazard Reports &amp; CAPA'!E5:E64,B41)</f>
        <v>0</v>
      </c>
      <c r="D41" s="2"/>
      <c r="E41" s="2"/>
      <c r="F41" s="2"/>
      <c r="G41" s="2"/>
      <c r="H41" s="2"/>
    </row>
    <row r="42" customFormat="false" ht="15" hidden="false" customHeight="false" outlineLevel="0" collapsed="false">
      <c r="A42" s="2"/>
      <c r="B42" s="6" t="s">
        <v>107</v>
      </c>
      <c r="C42" s="21" t="n">
        <f aca="false">COUNTIF('Hazard Reports &amp; CAPA'!E5:E64,B42)</f>
        <v>0</v>
      </c>
      <c r="D42" s="2"/>
      <c r="E42" s="2"/>
      <c r="F42" s="2"/>
      <c r="G42" s="2"/>
      <c r="H42" s="2"/>
    </row>
    <row r="43" customFormat="false" ht="15" hidden="false" customHeight="false" outlineLevel="0" collapsed="false">
      <c r="A43" s="2"/>
      <c r="B43" s="6" t="s">
        <v>108</v>
      </c>
      <c r="C43" s="21" t="n">
        <f aca="false">COUNTIF('Hazard Reports &amp; CAPA'!E5:E64,B43)</f>
        <v>1</v>
      </c>
      <c r="D43" s="2"/>
      <c r="E43" s="2"/>
      <c r="F43" s="2"/>
      <c r="G43" s="2"/>
      <c r="H43" s="2"/>
    </row>
    <row r="44" customFormat="false" ht="15" hidden="false" customHeight="false" outlineLevel="0" collapsed="false">
      <c r="A44" s="2"/>
      <c r="B44" s="6" t="s">
        <v>109</v>
      </c>
      <c r="C44" s="21" t="n">
        <f aca="false">COUNTIF('Hazard Reports &amp; CAPA'!E5:E64,B44)</f>
        <v>0</v>
      </c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6" t="s">
        <v>110</v>
      </c>
      <c r="C45" s="21" t="n">
        <f aca="false">COUNTIF('Hazard Reports &amp; CAPA'!E5:E64,B45)</f>
        <v>1</v>
      </c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6" t="s">
        <v>111</v>
      </c>
      <c r="C46" s="21" t="n">
        <f aca="false">COUNTIF('Hazard Reports &amp; CAPA'!E5:E64,B46)</f>
        <v>1</v>
      </c>
      <c r="D46" s="2"/>
      <c r="E46" s="2"/>
      <c r="F46" s="2"/>
      <c r="G46" s="2"/>
      <c r="H46" s="2"/>
    </row>
  </sheetData>
  <mergeCells count="1">
    <mergeCell ref="C4:E4"/>
  </mergeCells>
  <conditionalFormatting sqref="G8:G16">
    <cfRule type="cellIs" priority="2" operator="equal" aboveAverage="0" equalAverage="0" bottom="0" percent="0" rank="0" text="" dxfId="0">
      <formula>"On target"</formula>
    </cfRule>
    <cfRule type="cellIs" priority="3" operator="equal" aboveAverage="0" equalAverage="0" bottom="0" percent="0" rank="0" text="" dxfId="1">
      <formula>"Watch"</formula>
    </cfRule>
    <cfRule type="cellIs" priority="4" operator="equal" aboveAverage="0" equalAverage="0" bottom="0" percent="0" rank="0" text="" dxfId="1">
      <formula>"No data"</formula>
    </cfRule>
    <cfRule type="cellIs" priority="5" operator="equal" aboveAverage="0" equalAverage="0" bottom="0" percent="0" rank="0" text="" dxfId="2">
      <formula>"Action needed"</formula>
    </cfRule>
  </conditionalFormatting>
  <conditionalFormatting sqref="D20:D33">
    <cfRule type="cellIs" priority="6" operator="greaterThan" aboveAverage="0" equalAverage="0" bottom="0" percent="0" rank="0" text="" dxfId="2">
      <formula>0</formula>
    </cfRule>
    <cfRule type="cellIs" priority="7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30"/>
    <col collapsed="false" customWidth="true" hidden="false" outlineLevel="0" max="12" min="12" style="0" width="18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5"/>
  </cols>
  <sheetData>
    <row r="1" customFormat="false" ht="19.7" hidden="false" customHeight="false" outlineLevel="0" collapsed="false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31.5" hidden="false" customHeight="true" outlineLevel="0" collapsed="false">
      <c r="A4" s="12" t="s">
        <v>114</v>
      </c>
      <c r="B4" s="12" t="s">
        <v>115</v>
      </c>
      <c r="C4" s="12" t="s">
        <v>116</v>
      </c>
      <c r="D4" s="12" t="s">
        <v>100</v>
      </c>
      <c r="E4" s="12" t="s">
        <v>117</v>
      </c>
      <c r="F4" s="12" t="s">
        <v>118</v>
      </c>
      <c r="G4" s="12" t="s">
        <v>119</v>
      </c>
      <c r="H4" s="12" t="s">
        <v>120</v>
      </c>
      <c r="I4" s="12" t="s">
        <v>121</v>
      </c>
      <c r="J4" s="12" t="s">
        <v>122</v>
      </c>
      <c r="K4" s="12" t="s">
        <v>123</v>
      </c>
      <c r="L4" s="12" t="s">
        <v>124</v>
      </c>
      <c r="M4" s="12" t="s">
        <v>125</v>
      </c>
      <c r="N4" s="12" t="s">
        <v>126</v>
      </c>
      <c r="O4" s="12" t="s">
        <v>127</v>
      </c>
      <c r="P4" s="12" t="s">
        <v>128</v>
      </c>
      <c r="Q4" s="12" t="s">
        <v>129</v>
      </c>
      <c r="R4" s="12" t="s">
        <v>130</v>
      </c>
      <c r="S4" s="12" t="s">
        <v>131</v>
      </c>
    </row>
    <row r="5" customFormat="false" ht="26.85" hidden="false" customHeight="false" outlineLevel="0" collapsed="false">
      <c r="A5" s="18" t="str">
        <f aca="false">IF(B5="","","FR-"&amp;TEXT(ROW()-4,"000"))</f>
        <v>FR-001</v>
      </c>
      <c r="B5" s="10" t="s">
        <v>132</v>
      </c>
      <c r="C5" s="10" t="s">
        <v>133</v>
      </c>
      <c r="D5" s="10" t="s">
        <v>103</v>
      </c>
      <c r="E5" s="10" t="s">
        <v>134</v>
      </c>
      <c r="F5" s="24" t="n">
        <v>3</v>
      </c>
      <c r="G5" s="24" t="n">
        <v>4</v>
      </c>
      <c r="H5" s="18" t="n">
        <f aca="false">IF(OR(F5="",G5=""),"",F5*G5)</f>
        <v>12</v>
      </c>
      <c r="I5" s="18" t="str">
        <f aca="false">IF(H5="","",IF(H5&lt;=Lists!$R$2,"Low",IF(H5&lt;=Lists!$R$3,"Medium",IF(H5&lt;=Lists!$R$4,"High","Critical"))))</f>
        <v>High</v>
      </c>
      <c r="J5" s="10" t="s">
        <v>135</v>
      </c>
      <c r="K5" s="10" t="s">
        <v>136</v>
      </c>
      <c r="L5" s="10" t="s">
        <v>137</v>
      </c>
      <c r="M5" s="11" t="n">
        <v>46315</v>
      </c>
      <c r="N5" s="11"/>
      <c r="O5" s="24" t="n">
        <v>2</v>
      </c>
      <c r="P5" s="24" t="n">
        <v>3</v>
      </c>
      <c r="Q5" s="18" t="n">
        <f aca="false">IF(OR(O5="",P5=""),"",O5*P5)</f>
        <v>6</v>
      </c>
      <c r="R5" s="18" t="str">
        <f aca="false">IF(Q5="","",IF(Q5&lt;=Lists!$R$2,"Low",IF(Q5&lt;=Lists!$R$3,"Medium",IF(Q5&lt;=Lists!$R$4,"High","Critical"))))</f>
        <v>Medium</v>
      </c>
      <c r="S5" s="18" t="str">
        <f aca="false">IF(B5="","",IF(K5="","No action required",IF(N5&lt;&gt;"","Complete",IF(M5="","No target date",IF(M5&lt;Dashboard!$C$5,"Overdue",IF(M5-Dashboard!$C$5&lt;=Lists!$R$5,"Due soon","Open"))))))</f>
        <v>Due soon</v>
      </c>
    </row>
    <row r="6" customFormat="false" ht="39.55" hidden="false" customHeight="false" outlineLevel="0" collapsed="false">
      <c r="A6" s="18" t="str">
        <f aca="false">IF(B6="","","FR-"&amp;TEXT(ROW()-4,"000"))</f>
        <v>FR-002</v>
      </c>
      <c r="B6" s="10" t="s">
        <v>138</v>
      </c>
      <c r="C6" s="10" t="s">
        <v>139</v>
      </c>
      <c r="D6" s="10" t="s">
        <v>108</v>
      </c>
      <c r="E6" s="10" t="s">
        <v>140</v>
      </c>
      <c r="F6" s="24" t="n">
        <v>4</v>
      </c>
      <c r="G6" s="24" t="n">
        <v>4</v>
      </c>
      <c r="H6" s="18" t="n">
        <f aca="false">IF(OR(F6="",G6=""),"",F6*G6)</f>
        <v>16</v>
      </c>
      <c r="I6" s="18" t="str">
        <f aca="false">IF(H6="","",IF(H6&lt;=Lists!$R$2,"Low",IF(H6&lt;=Lists!$R$3,"Medium",IF(H6&lt;=Lists!$R$4,"High","Critical"))))</f>
        <v>Critical</v>
      </c>
      <c r="J6" s="10" t="s">
        <v>141</v>
      </c>
      <c r="K6" s="10" t="s">
        <v>142</v>
      </c>
      <c r="L6" s="10" t="s">
        <v>143</v>
      </c>
      <c r="M6" s="11" t="n">
        <v>46300</v>
      </c>
      <c r="N6" s="11"/>
      <c r="O6" s="24" t="n">
        <v>3</v>
      </c>
      <c r="P6" s="24" t="n">
        <v>3</v>
      </c>
      <c r="Q6" s="18" t="n">
        <f aca="false">IF(OR(O6="",P6=""),"",O6*P6)</f>
        <v>9</v>
      </c>
      <c r="R6" s="18" t="str">
        <f aca="false">IF(Q6="","",IF(Q6&lt;=Lists!$R$2,"Low",IF(Q6&lt;=Lists!$R$3,"Medium",IF(Q6&lt;=Lists!$R$4,"High","Critical"))))</f>
        <v>Medium</v>
      </c>
      <c r="S6" s="18" t="str">
        <f aca="false">IF(B6="","",IF(K6="","No action required",IF(N6&lt;&gt;"","Complete",IF(M6="","No target date",IF(M6&lt;Dashboard!$C$5,"Overdue",IF(M6-Dashboard!$C$5&lt;=Lists!$R$5,"Due soon","Open"))))))</f>
        <v>Overdue</v>
      </c>
    </row>
    <row r="7" customFormat="false" ht="26.85" hidden="false" customHeight="false" outlineLevel="0" collapsed="false">
      <c r="A7" s="18" t="str">
        <f aca="false">IF(B7="","","FR-"&amp;TEXT(ROW()-4,"000"))</f>
        <v>FR-003</v>
      </c>
      <c r="B7" s="10" t="s">
        <v>144</v>
      </c>
      <c r="C7" s="10" t="s">
        <v>145</v>
      </c>
      <c r="D7" s="10" t="s">
        <v>104</v>
      </c>
      <c r="E7" s="10" t="s">
        <v>146</v>
      </c>
      <c r="F7" s="24" t="n">
        <v>3</v>
      </c>
      <c r="G7" s="24" t="n">
        <v>5</v>
      </c>
      <c r="H7" s="18" t="n">
        <f aca="false">IF(OR(F7="",G7=""),"",F7*G7)</f>
        <v>15</v>
      </c>
      <c r="I7" s="18" t="str">
        <f aca="false">IF(H7="","",IF(H7&lt;=Lists!$R$2,"Low",IF(H7&lt;=Lists!$R$3,"Medium",IF(H7&lt;=Lists!$R$4,"High","Critical"))))</f>
        <v>Critical</v>
      </c>
      <c r="J7" s="10" t="s">
        <v>147</v>
      </c>
      <c r="K7" s="10" t="s">
        <v>148</v>
      </c>
      <c r="L7" s="10" t="s">
        <v>149</v>
      </c>
      <c r="M7" s="11" t="n">
        <v>46295</v>
      </c>
      <c r="N7" s="11" t="n">
        <v>46293</v>
      </c>
      <c r="O7" s="24" t="n">
        <v>2</v>
      </c>
      <c r="P7" s="24" t="n">
        <v>4</v>
      </c>
      <c r="Q7" s="18" t="n">
        <f aca="false">IF(OR(O7="",P7=""),"",O7*P7)</f>
        <v>8</v>
      </c>
      <c r="R7" s="18" t="str">
        <f aca="false">IF(Q7="","",IF(Q7&lt;=Lists!$R$2,"Low",IF(Q7&lt;=Lists!$R$3,"Medium",IF(Q7&lt;=Lists!$R$4,"High","Critical"))))</f>
        <v>Medium</v>
      </c>
      <c r="S7" s="18" t="str">
        <f aca="false">IF(B7="","",IF(K7="","No action required",IF(N7&lt;&gt;"","Complete",IF(M7="","No target date",IF(M7&lt;Dashboard!$C$5,"Overdue",IF(M7-Dashboard!$C$5&lt;=Lists!$R$5,"Due soon","Open"))))))</f>
        <v>Complete</v>
      </c>
    </row>
    <row r="8" customFormat="false" ht="39.55" hidden="false" customHeight="false" outlineLevel="0" collapsed="false">
      <c r="A8" s="18" t="str">
        <f aca="false">IF(B8="","","FR-"&amp;TEXT(ROW()-4,"000"))</f>
        <v>FR-004</v>
      </c>
      <c r="B8" s="10" t="s">
        <v>150</v>
      </c>
      <c r="C8" s="10" t="s">
        <v>151</v>
      </c>
      <c r="D8" s="10" t="s">
        <v>102</v>
      </c>
      <c r="E8" s="10" t="s">
        <v>152</v>
      </c>
      <c r="F8" s="24" t="n">
        <v>3</v>
      </c>
      <c r="G8" s="24" t="n">
        <v>5</v>
      </c>
      <c r="H8" s="18" t="n">
        <f aca="false">IF(OR(F8="",G8=""),"",F8*G8)</f>
        <v>15</v>
      </c>
      <c r="I8" s="18" t="str">
        <f aca="false">IF(H8="","",IF(H8&lt;=Lists!$R$2,"Low",IF(H8&lt;=Lists!$R$3,"Medium",IF(H8&lt;=Lists!$R$4,"High","Critical"))))</f>
        <v>Critical</v>
      </c>
      <c r="J8" s="10" t="s">
        <v>153</v>
      </c>
      <c r="K8" s="10" t="s">
        <v>154</v>
      </c>
      <c r="L8" s="10" t="s">
        <v>155</v>
      </c>
      <c r="M8" s="11" t="n">
        <v>46310</v>
      </c>
      <c r="N8" s="11"/>
      <c r="O8" s="24" t="n">
        <v>1</v>
      </c>
      <c r="P8" s="24" t="n">
        <v>4</v>
      </c>
      <c r="Q8" s="18" t="n">
        <f aca="false">IF(OR(O8="",P8=""),"",O8*P8)</f>
        <v>4</v>
      </c>
      <c r="R8" s="18" t="str">
        <f aca="false">IF(Q8="","",IF(Q8&lt;=Lists!$R$2,"Low",IF(Q8&lt;=Lists!$R$3,"Medium",IF(Q8&lt;=Lists!$R$4,"High","Critical"))))</f>
        <v>Low</v>
      </c>
      <c r="S8" s="18" t="str">
        <f aca="false">IF(B8="","",IF(K8="","No action required",IF(N8&lt;&gt;"","Complete",IF(M8="","No target date",IF(M8&lt;Dashboard!$C$5,"Overdue",IF(M8-Dashboard!$C$5&lt;=Lists!$R$5,"Due soon","Open"))))))</f>
        <v>Due soon</v>
      </c>
    </row>
    <row r="9" customFormat="false" ht="26.85" hidden="false" customHeight="false" outlineLevel="0" collapsed="false">
      <c r="A9" s="18" t="str">
        <f aca="false">IF(B9="","","FR-"&amp;TEXT(ROW()-4,"000"))</f>
        <v>FR-005</v>
      </c>
      <c r="B9" s="10" t="s">
        <v>156</v>
      </c>
      <c r="C9" s="10" t="s">
        <v>157</v>
      </c>
      <c r="D9" s="10" t="s">
        <v>105</v>
      </c>
      <c r="E9" s="10" t="s">
        <v>158</v>
      </c>
      <c r="F9" s="24" t="n">
        <v>2</v>
      </c>
      <c r="G9" s="24" t="n">
        <v>3</v>
      </c>
      <c r="H9" s="18" t="n">
        <f aca="false">IF(OR(F9="",G9=""),"",F9*G9)</f>
        <v>6</v>
      </c>
      <c r="I9" s="18" t="str">
        <f aca="false">IF(H9="","",IF(H9&lt;=Lists!$R$2,"Low",IF(H9&lt;=Lists!$R$3,"Medium",IF(H9&lt;=Lists!$R$4,"High","Critical"))))</f>
        <v>Medium</v>
      </c>
      <c r="J9" s="10" t="s">
        <v>159</v>
      </c>
      <c r="K9" s="10"/>
      <c r="L9" s="10" t="s">
        <v>160</v>
      </c>
      <c r="M9" s="11"/>
      <c r="N9" s="11"/>
      <c r="O9" s="24" t="n">
        <v>2</v>
      </c>
      <c r="P9" s="24" t="n">
        <v>3</v>
      </c>
      <c r="Q9" s="18" t="n">
        <f aca="false">IF(OR(O9="",P9=""),"",O9*P9)</f>
        <v>6</v>
      </c>
      <c r="R9" s="18" t="str">
        <f aca="false">IF(Q9="","",IF(Q9&lt;=Lists!$R$2,"Low",IF(Q9&lt;=Lists!$R$3,"Medium",IF(Q9&lt;=Lists!$R$4,"High","Critical"))))</f>
        <v>Medium</v>
      </c>
      <c r="S9" s="18" t="str">
        <f aca="false">IF(B9="","",IF(K9="","No action required",IF(N9&lt;&gt;"","Complete",IF(M9="","No target date",IF(M9&lt;Dashboard!$C$5,"Overdue",IF(M9-Dashboard!$C$5&lt;=Lists!$R$5,"Due soon","Open"))))))</f>
        <v>No action required</v>
      </c>
    </row>
    <row r="10" customFormat="false" ht="15" hidden="false" customHeight="false" outlineLevel="0" collapsed="false">
      <c r="A10" s="18" t="str">
        <f aca="false">IF(B10="","","FR-"&amp;TEXT(ROW()-4,"000"))</f>
        <v/>
      </c>
      <c r="B10" s="10"/>
      <c r="C10" s="10"/>
      <c r="D10" s="10"/>
      <c r="E10" s="10"/>
      <c r="F10" s="24"/>
      <c r="G10" s="24"/>
      <c r="H10" s="18" t="str">
        <f aca="false">IF(OR(F10="",G10=""),"",F10*G10)</f>
        <v/>
      </c>
      <c r="I10" s="18" t="str">
        <f aca="false">IF(H10="","",IF(H10&lt;=Lists!$R$2,"Low",IF(H10&lt;=Lists!$R$3,"Medium",IF(H10&lt;=Lists!$R$4,"High","Critical"))))</f>
        <v/>
      </c>
      <c r="J10" s="10"/>
      <c r="K10" s="10"/>
      <c r="L10" s="10"/>
      <c r="M10" s="11"/>
      <c r="N10" s="11"/>
      <c r="O10" s="24"/>
      <c r="P10" s="24"/>
      <c r="Q10" s="18" t="str">
        <f aca="false">IF(OR(O10="",P10=""),"",O10*P10)</f>
        <v/>
      </c>
      <c r="R10" s="18" t="str">
        <f aca="false">IF(Q10="","",IF(Q10&lt;=Lists!$R$2,"Low",IF(Q10&lt;=Lists!$R$3,"Medium",IF(Q10&lt;=Lists!$R$4,"High","Critical"))))</f>
        <v/>
      </c>
      <c r="S10" s="18" t="str">
        <f aca="false">IF(B10="","",IF(K10="","No action required",IF(N10&lt;&gt;"","Complete",IF(M10="","No target date",IF(M10&lt;Dashboard!$C$5,"Overdue",IF(M10-Dashboard!$C$5&lt;=Lists!$R$5,"Due soon","Open"))))))</f>
        <v/>
      </c>
    </row>
    <row r="11" customFormat="false" ht="15" hidden="false" customHeight="false" outlineLevel="0" collapsed="false">
      <c r="A11" s="18" t="str">
        <f aca="false">IF(B11="","","FR-"&amp;TEXT(ROW()-4,"000"))</f>
        <v/>
      </c>
      <c r="B11" s="10"/>
      <c r="C11" s="10"/>
      <c r="D11" s="10"/>
      <c r="E11" s="10"/>
      <c r="F11" s="24"/>
      <c r="G11" s="24"/>
      <c r="H11" s="18" t="str">
        <f aca="false">IF(OR(F11="",G11=""),"",F11*G11)</f>
        <v/>
      </c>
      <c r="I11" s="18" t="str">
        <f aca="false">IF(H11="","",IF(H11&lt;=Lists!$R$2,"Low",IF(H11&lt;=Lists!$R$3,"Medium",IF(H11&lt;=Lists!$R$4,"High","Critical"))))</f>
        <v/>
      </c>
      <c r="J11" s="10"/>
      <c r="K11" s="10"/>
      <c r="L11" s="10"/>
      <c r="M11" s="11"/>
      <c r="N11" s="11"/>
      <c r="O11" s="24"/>
      <c r="P11" s="24"/>
      <c r="Q11" s="18" t="str">
        <f aca="false">IF(OR(O11="",P11=""),"",O11*P11)</f>
        <v/>
      </c>
      <c r="R11" s="18" t="str">
        <f aca="false">IF(Q11="","",IF(Q11&lt;=Lists!$R$2,"Low",IF(Q11&lt;=Lists!$R$3,"Medium",IF(Q11&lt;=Lists!$R$4,"High","Critical"))))</f>
        <v/>
      </c>
      <c r="S11" s="18" t="str">
        <f aca="false">IF(B11="","",IF(K11="","No action required",IF(N11&lt;&gt;"","Complete",IF(M11="","No target date",IF(M11&lt;Dashboard!$C$5,"Overdue",IF(M11-Dashboard!$C$5&lt;=Lists!$R$5,"Due soon","Open"))))))</f>
        <v/>
      </c>
    </row>
    <row r="12" customFormat="false" ht="15" hidden="false" customHeight="false" outlineLevel="0" collapsed="false">
      <c r="A12" s="18" t="str">
        <f aca="false">IF(B12="","","FR-"&amp;TEXT(ROW()-4,"000"))</f>
        <v/>
      </c>
      <c r="B12" s="10"/>
      <c r="C12" s="10"/>
      <c r="D12" s="10"/>
      <c r="E12" s="10"/>
      <c r="F12" s="24"/>
      <c r="G12" s="24"/>
      <c r="H12" s="18" t="str">
        <f aca="false">IF(OR(F12="",G12=""),"",F12*G12)</f>
        <v/>
      </c>
      <c r="I12" s="18" t="str">
        <f aca="false">IF(H12="","",IF(H12&lt;=Lists!$R$2,"Low",IF(H12&lt;=Lists!$R$3,"Medium",IF(H12&lt;=Lists!$R$4,"High","Critical"))))</f>
        <v/>
      </c>
      <c r="J12" s="10"/>
      <c r="K12" s="10"/>
      <c r="L12" s="10"/>
      <c r="M12" s="11"/>
      <c r="N12" s="11"/>
      <c r="O12" s="24"/>
      <c r="P12" s="24"/>
      <c r="Q12" s="18" t="str">
        <f aca="false">IF(OR(O12="",P12=""),"",O12*P12)</f>
        <v/>
      </c>
      <c r="R12" s="18" t="str">
        <f aca="false">IF(Q12="","",IF(Q12&lt;=Lists!$R$2,"Low",IF(Q12&lt;=Lists!$R$3,"Medium",IF(Q12&lt;=Lists!$R$4,"High","Critical"))))</f>
        <v/>
      </c>
      <c r="S12" s="18" t="str">
        <f aca="false">IF(B12="","",IF(K12="","No action required",IF(N12&lt;&gt;"","Complete",IF(M12="","No target date",IF(M12&lt;Dashboard!$C$5,"Overdue",IF(M12-Dashboard!$C$5&lt;=Lists!$R$5,"Due soon","Open"))))))</f>
        <v/>
      </c>
    </row>
    <row r="13" customFormat="false" ht="15" hidden="false" customHeight="false" outlineLevel="0" collapsed="false">
      <c r="A13" s="18" t="str">
        <f aca="false">IF(B13="","","FR-"&amp;TEXT(ROW()-4,"000"))</f>
        <v/>
      </c>
      <c r="B13" s="10"/>
      <c r="C13" s="10"/>
      <c r="D13" s="10"/>
      <c r="E13" s="10"/>
      <c r="F13" s="24"/>
      <c r="G13" s="24"/>
      <c r="H13" s="18" t="str">
        <f aca="false">IF(OR(F13="",G13=""),"",F13*G13)</f>
        <v/>
      </c>
      <c r="I13" s="18" t="str">
        <f aca="false">IF(H13="","",IF(H13&lt;=Lists!$R$2,"Low",IF(H13&lt;=Lists!$R$3,"Medium",IF(H13&lt;=Lists!$R$4,"High","Critical"))))</f>
        <v/>
      </c>
      <c r="J13" s="10"/>
      <c r="K13" s="10"/>
      <c r="L13" s="10"/>
      <c r="M13" s="11"/>
      <c r="N13" s="11"/>
      <c r="O13" s="24"/>
      <c r="P13" s="24"/>
      <c r="Q13" s="18" t="str">
        <f aca="false">IF(OR(O13="",P13=""),"",O13*P13)</f>
        <v/>
      </c>
      <c r="R13" s="18" t="str">
        <f aca="false">IF(Q13="","",IF(Q13&lt;=Lists!$R$2,"Low",IF(Q13&lt;=Lists!$R$3,"Medium",IF(Q13&lt;=Lists!$R$4,"High","Critical"))))</f>
        <v/>
      </c>
      <c r="S13" s="18" t="str">
        <f aca="false">IF(B13="","",IF(K13="","No action required",IF(N13&lt;&gt;"","Complete",IF(M13="","No target date",IF(M13&lt;Dashboard!$C$5,"Overdue",IF(M13-Dashboard!$C$5&lt;=Lists!$R$5,"Due soon","Open"))))))</f>
        <v/>
      </c>
    </row>
    <row r="14" customFormat="false" ht="15" hidden="false" customHeight="false" outlineLevel="0" collapsed="false">
      <c r="A14" s="18" t="str">
        <f aca="false">IF(B14="","","FR-"&amp;TEXT(ROW()-4,"000"))</f>
        <v/>
      </c>
      <c r="B14" s="10"/>
      <c r="C14" s="10"/>
      <c r="D14" s="10"/>
      <c r="E14" s="10"/>
      <c r="F14" s="24"/>
      <c r="G14" s="24"/>
      <c r="H14" s="18" t="str">
        <f aca="false">IF(OR(F14="",G14=""),"",F14*G14)</f>
        <v/>
      </c>
      <c r="I14" s="18" t="str">
        <f aca="false">IF(H14="","",IF(H14&lt;=Lists!$R$2,"Low",IF(H14&lt;=Lists!$R$3,"Medium",IF(H14&lt;=Lists!$R$4,"High","Critical"))))</f>
        <v/>
      </c>
      <c r="J14" s="10"/>
      <c r="K14" s="10"/>
      <c r="L14" s="10"/>
      <c r="M14" s="11"/>
      <c r="N14" s="11"/>
      <c r="O14" s="24"/>
      <c r="P14" s="24"/>
      <c r="Q14" s="18" t="str">
        <f aca="false">IF(OR(O14="",P14=""),"",O14*P14)</f>
        <v/>
      </c>
      <c r="R14" s="18" t="str">
        <f aca="false">IF(Q14="","",IF(Q14&lt;=Lists!$R$2,"Low",IF(Q14&lt;=Lists!$R$3,"Medium",IF(Q14&lt;=Lists!$R$4,"High","Critical"))))</f>
        <v/>
      </c>
      <c r="S14" s="18" t="str">
        <f aca="false">IF(B14="","",IF(K14="","No action required",IF(N14&lt;&gt;"","Complete",IF(M14="","No target date",IF(M14&lt;Dashboard!$C$5,"Overdue",IF(M14-Dashboard!$C$5&lt;=Lists!$R$5,"Due soon","Open"))))))</f>
        <v/>
      </c>
    </row>
    <row r="15" customFormat="false" ht="15" hidden="false" customHeight="false" outlineLevel="0" collapsed="false">
      <c r="A15" s="18" t="str">
        <f aca="false">IF(B15="","","FR-"&amp;TEXT(ROW()-4,"000"))</f>
        <v/>
      </c>
      <c r="B15" s="10"/>
      <c r="C15" s="10"/>
      <c r="D15" s="10"/>
      <c r="E15" s="10"/>
      <c r="F15" s="24"/>
      <c r="G15" s="24"/>
      <c r="H15" s="18" t="str">
        <f aca="false">IF(OR(F15="",G15=""),"",F15*G15)</f>
        <v/>
      </c>
      <c r="I15" s="18" t="str">
        <f aca="false">IF(H15="","",IF(H15&lt;=Lists!$R$2,"Low",IF(H15&lt;=Lists!$R$3,"Medium",IF(H15&lt;=Lists!$R$4,"High","Critical"))))</f>
        <v/>
      </c>
      <c r="J15" s="10"/>
      <c r="K15" s="10"/>
      <c r="L15" s="10"/>
      <c r="M15" s="11"/>
      <c r="N15" s="11"/>
      <c r="O15" s="24"/>
      <c r="P15" s="24"/>
      <c r="Q15" s="18" t="str">
        <f aca="false">IF(OR(O15="",P15=""),"",O15*P15)</f>
        <v/>
      </c>
      <c r="R15" s="18" t="str">
        <f aca="false">IF(Q15="","",IF(Q15&lt;=Lists!$R$2,"Low",IF(Q15&lt;=Lists!$R$3,"Medium",IF(Q15&lt;=Lists!$R$4,"High","Critical"))))</f>
        <v/>
      </c>
      <c r="S15" s="18" t="str">
        <f aca="false">IF(B15="","",IF(K15="","No action required",IF(N15&lt;&gt;"","Complete",IF(M15="","No target date",IF(M15&lt;Dashboard!$C$5,"Overdue",IF(M15-Dashboard!$C$5&lt;=Lists!$R$5,"Due soon","Open"))))))</f>
        <v/>
      </c>
    </row>
    <row r="16" customFormat="false" ht="15" hidden="false" customHeight="false" outlineLevel="0" collapsed="false">
      <c r="A16" s="18" t="str">
        <f aca="false">IF(B16="","","FR-"&amp;TEXT(ROW()-4,"000"))</f>
        <v/>
      </c>
      <c r="B16" s="10"/>
      <c r="C16" s="10"/>
      <c r="D16" s="10"/>
      <c r="E16" s="10"/>
      <c r="F16" s="24"/>
      <c r="G16" s="24"/>
      <c r="H16" s="18" t="str">
        <f aca="false">IF(OR(F16="",G16=""),"",F16*G16)</f>
        <v/>
      </c>
      <c r="I16" s="18" t="str">
        <f aca="false">IF(H16="","",IF(H16&lt;=Lists!$R$2,"Low",IF(H16&lt;=Lists!$R$3,"Medium",IF(H16&lt;=Lists!$R$4,"High","Critical"))))</f>
        <v/>
      </c>
      <c r="J16" s="10"/>
      <c r="K16" s="10"/>
      <c r="L16" s="10"/>
      <c r="M16" s="11"/>
      <c r="N16" s="11"/>
      <c r="O16" s="24"/>
      <c r="P16" s="24"/>
      <c r="Q16" s="18" t="str">
        <f aca="false">IF(OR(O16="",P16=""),"",O16*P16)</f>
        <v/>
      </c>
      <c r="R16" s="18" t="str">
        <f aca="false">IF(Q16="","",IF(Q16&lt;=Lists!$R$2,"Low",IF(Q16&lt;=Lists!$R$3,"Medium",IF(Q16&lt;=Lists!$R$4,"High","Critical"))))</f>
        <v/>
      </c>
      <c r="S16" s="18" t="str">
        <f aca="false">IF(B16="","",IF(K16="","No action required",IF(N16&lt;&gt;"","Complete",IF(M16="","No target date",IF(M16&lt;Dashboard!$C$5,"Overdue",IF(M16-Dashboard!$C$5&lt;=Lists!$R$5,"Due soon","Open"))))))</f>
        <v/>
      </c>
    </row>
    <row r="17" customFormat="false" ht="15" hidden="false" customHeight="false" outlineLevel="0" collapsed="false">
      <c r="A17" s="18" t="str">
        <f aca="false">IF(B17="","","FR-"&amp;TEXT(ROW()-4,"000"))</f>
        <v/>
      </c>
      <c r="B17" s="10"/>
      <c r="C17" s="10"/>
      <c r="D17" s="10"/>
      <c r="E17" s="10"/>
      <c r="F17" s="24"/>
      <c r="G17" s="24"/>
      <c r="H17" s="18" t="str">
        <f aca="false">IF(OR(F17="",G17=""),"",F17*G17)</f>
        <v/>
      </c>
      <c r="I17" s="18" t="str">
        <f aca="false">IF(H17="","",IF(H17&lt;=Lists!$R$2,"Low",IF(H17&lt;=Lists!$R$3,"Medium",IF(H17&lt;=Lists!$R$4,"High","Critical"))))</f>
        <v/>
      </c>
      <c r="J17" s="10"/>
      <c r="K17" s="10"/>
      <c r="L17" s="10"/>
      <c r="M17" s="11"/>
      <c r="N17" s="11"/>
      <c r="O17" s="24"/>
      <c r="P17" s="24"/>
      <c r="Q17" s="18" t="str">
        <f aca="false">IF(OR(O17="",P17=""),"",O17*P17)</f>
        <v/>
      </c>
      <c r="R17" s="18" t="str">
        <f aca="false">IF(Q17="","",IF(Q17&lt;=Lists!$R$2,"Low",IF(Q17&lt;=Lists!$R$3,"Medium",IF(Q17&lt;=Lists!$R$4,"High","Critical"))))</f>
        <v/>
      </c>
      <c r="S17" s="18" t="str">
        <f aca="false">IF(B17="","",IF(K17="","No action required",IF(N17&lt;&gt;"","Complete",IF(M17="","No target date",IF(M17&lt;Dashboard!$C$5,"Overdue",IF(M17-Dashboard!$C$5&lt;=Lists!$R$5,"Due soon","Open"))))))</f>
        <v/>
      </c>
    </row>
    <row r="18" customFormat="false" ht="15" hidden="false" customHeight="false" outlineLevel="0" collapsed="false">
      <c r="A18" s="18" t="str">
        <f aca="false">IF(B18="","","FR-"&amp;TEXT(ROW()-4,"000"))</f>
        <v/>
      </c>
      <c r="B18" s="10"/>
      <c r="C18" s="10"/>
      <c r="D18" s="10"/>
      <c r="E18" s="10"/>
      <c r="F18" s="24"/>
      <c r="G18" s="24"/>
      <c r="H18" s="18" t="str">
        <f aca="false">IF(OR(F18="",G18=""),"",F18*G18)</f>
        <v/>
      </c>
      <c r="I18" s="18" t="str">
        <f aca="false">IF(H18="","",IF(H18&lt;=Lists!$R$2,"Low",IF(H18&lt;=Lists!$R$3,"Medium",IF(H18&lt;=Lists!$R$4,"High","Critical"))))</f>
        <v/>
      </c>
      <c r="J18" s="10"/>
      <c r="K18" s="10"/>
      <c r="L18" s="10"/>
      <c r="M18" s="11"/>
      <c r="N18" s="11"/>
      <c r="O18" s="24"/>
      <c r="P18" s="24"/>
      <c r="Q18" s="18" t="str">
        <f aca="false">IF(OR(O18="",P18=""),"",O18*P18)</f>
        <v/>
      </c>
      <c r="R18" s="18" t="str">
        <f aca="false">IF(Q18="","",IF(Q18&lt;=Lists!$R$2,"Low",IF(Q18&lt;=Lists!$R$3,"Medium",IF(Q18&lt;=Lists!$R$4,"High","Critical"))))</f>
        <v/>
      </c>
      <c r="S18" s="18" t="str">
        <f aca="false">IF(B18="","",IF(K18="","No action required",IF(N18&lt;&gt;"","Complete",IF(M18="","No target date",IF(M18&lt;Dashboard!$C$5,"Overdue",IF(M18-Dashboard!$C$5&lt;=Lists!$R$5,"Due soon","Open"))))))</f>
        <v/>
      </c>
    </row>
    <row r="19" customFormat="false" ht="15" hidden="false" customHeight="false" outlineLevel="0" collapsed="false">
      <c r="A19" s="18" t="str">
        <f aca="false">IF(B19="","","FR-"&amp;TEXT(ROW()-4,"000"))</f>
        <v/>
      </c>
      <c r="B19" s="10"/>
      <c r="C19" s="10"/>
      <c r="D19" s="10"/>
      <c r="E19" s="10"/>
      <c r="F19" s="24"/>
      <c r="G19" s="24"/>
      <c r="H19" s="18" t="str">
        <f aca="false">IF(OR(F19="",G19=""),"",F19*G19)</f>
        <v/>
      </c>
      <c r="I19" s="18" t="str">
        <f aca="false">IF(H19="","",IF(H19&lt;=Lists!$R$2,"Low",IF(H19&lt;=Lists!$R$3,"Medium",IF(H19&lt;=Lists!$R$4,"High","Critical"))))</f>
        <v/>
      </c>
      <c r="J19" s="10"/>
      <c r="K19" s="10"/>
      <c r="L19" s="10"/>
      <c r="M19" s="11"/>
      <c r="N19" s="11"/>
      <c r="O19" s="24"/>
      <c r="P19" s="24"/>
      <c r="Q19" s="18" t="str">
        <f aca="false">IF(OR(O19="",P19=""),"",O19*P19)</f>
        <v/>
      </c>
      <c r="R19" s="18" t="str">
        <f aca="false">IF(Q19="","",IF(Q19&lt;=Lists!$R$2,"Low",IF(Q19&lt;=Lists!$R$3,"Medium",IF(Q19&lt;=Lists!$R$4,"High","Critical"))))</f>
        <v/>
      </c>
      <c r="S19" s="18" t="str">
        <f aca="false">IF(B19="","",IF(K19="","No action required",IF(N19&lt;&gt;"","Complete",IF(M19="","No target date",IF(M19&lt;Dashboard!$C$5,"Overdue",IF(M19-Dashboard!$C$5&lt;=Lists!$R$5,"Due soon","Open"))))))</f>
        <v/>
      </c>
    </row>
    <row r="20" customFormat="false" ht="15" hidden="false" customHeight="false" outlineLevel="0" collapsed="false">
      <c r="A20" s="18" t="str">
        <f aca="false">IF(B20="","","FR-"&amp;TEXT(ROW()-4,"000"))</f>
        <v/>
      </c>
      <c r="B20" s="10"/>
      <c r="C20" s="10"/>
      <c r="D20" s="10"/>
      <c r="E20" s="10"/>
      <c r="F20" s="24"/>
      <c r="G20" s="24"/>
      <c r="H20" s="18" t="str">
        <f aca="false">IF(OR(F20="",G20=""),"",F20*G20)</f>
        <v/>
      </c>
      <c r="I20" s="18" t="str">
        <f aca="false">IF(H20="","",IF(H20&lt;=Lists!$R$2,"Low",IF(H20&lt;=Lists!$R$3,"Medium",IF(H20&lt;=Lists!$R$4,"High","Critical"))))</f>
        <v/>
      </c>
      <c r="J20" s="10"/>
      <c r="K20" s="10"/>
      <c r="L20" s="10"/>
      <c r="M20" s="11"/>
      <c r="N20" s="11"/>
      <c r="O20" s="24"/>
      <c r="P20" s="24"/>
      <c r="Q20" s="18" t="str">
        <f aca="false">IF(OR(O20="",P20=""),"",O20*P20)</f>
        <v/>
      </c>
      <c r="R20" s="18" t="str">
        <f aca="false">IF(Q20="","",IF(Q20&lt;=Lists!$R$2,"Low",IF(Q20&lt;=Lists!$R$3,"Medium",IF(Q20&lt;=Lists!$R$4,"High","Critical"))))</f>
        <v/>
      </c>
      <c r="S20" s="18" t="str">
        <f aca="false">IF(B20="","",IF(K20="","No action required",IF(N20&lt;&gt;"","Complete",IF(M20="","No target date",IF(M20&lt;Dashboard!$C$5,"Overdue",IF(M20-Dashboard!$C$5&lt;=Lists!$R$5,"Due soon","Open"))))))</f>
        <v/>
      </c>
    </row>
    <row r="21" customFormat="false" ht="15" hidden="false" customHeight="false" outlineLevel="0" collapsed="false">
      <c r="A21" s="18" t="str">
        <f aca="false">IF(B21="","","FR-"&amp;TEXT(ROW()-4,"000"))</f>
        <v/>
      </c>
      <c r="B21" s="10"/>
      <c r="C21" s="10"/>
      <c r="D21" s="10"/>
      <c r="E21" s="10"/>
      <c r="F21" s="24"/>
      <c r="G21" s="24"/>
      <c r="H21" s="18" t="str">
        <f aca="false">IF(OR(F21="",G21=""),"",F21*G21)</f>
        <v/>
      </c>
      <c r="I21" s="18" t="str">
        <f aca="false">IF(H21="","",IF(H21&lt;=Lists!$R$2,"Low",IF(H21&lt;=Lists!$R$3,"Medium",IF(H21&lt;=Lists!$R$4,"High","Critical"))))</f>
        <v/>
      </c>
      <c r="J21" s="10"/>
      <c r="K21" s="10"/>
      <c r="L21" s="10"/>
      <c r="M21" s="11"/>
      <c r="N21" s="11"/>
      <c r="O21" s="24"/>
      <c r="P21" s="24"/>
      <c r="Q21" s="18" t="str">
        <f aca="false">IF(OR(O21="",P21=""),"",O21*P21)</f>
        <v/>
      </c>
      <c r="R21" s="18" t="str">
        <f aca="false">IF(Q21="","",IF(Q21&lt;=Lists!$R$2,"Low",IF(Q21&lt;=Lists!$R$3,"Medium",IF(Q21&lt;=Lists!$R$4,"High","Critical"))))</f>
        <v/>
      </c>
      <c r="S21" s="18" t="str">
        <f aca="false">IF(B21="","",IF(K21="","No action required",IF(N21&lt;&gt;"","Complete",IF(M21="","No target date",IF(M21&lt;Dashboard!$C$5,"Overdue",IF(M21-Dashboard!$C$5&lt;=Lists!$R$5,"Due soon","Open"))))))</f>
        <v/>
      </c>
    </row>
    <row r="22" customFormat="false" ht="15" hidden="false" customHeight="false" outlineLevel="0" collapsed="false">
      <c r="A22" s="18" t="str">
        <f aca="false">IF(B22="","","FR-"&amp;TEXT(ROW()-4,"000"))</f>
        <v/>
      </c>
      <c r="B22" s="10"/>
      <c r="C22" s="10"/>
      <c r="D22" s="10"/>
      <c r="E22" s="10"/>
      <c r="F22" s="24"/>
      <c r="G22" s="24"/>
      <c r="H22" s="18" t="str">
        <f aca="false">IF(OR(F22="",G22=""),"",F22*G22)</f>
        <v/>
      </c>
      <c r="I22" s="18" t="str">
        <f aca="false">IF(H22="","",IF(H22&lt;=Lists!$R$2,"Low",IF(H22&lt;=Lists!$R$3,"Medium",IF(H22&lt;=Lists!$R$4,"High","Critical"))))</f>
        <v/>
      </c>
      <c r="J22" s="10"/>
      <c r="K22" s="10"/>
      <c r="L22" s="10"/>
      <c r="M22" s="11"/>
      <c r="N22" s="11"/>
      <c r="O22" s="24"/>
      <c r="P22" s="24"/>
      <c r="Q22" s="18" t="str">
        <f aca="false">IF(OR(O22="",P22=""),"",O22*P22)</f>
        <v/>
      </c>
      <c r="R22" s="18" t="str">
        <f aca="false">IF(Q22="","",IF(Q22&lt;=Lists!$R$2,"Low",IF(Q22&lt;=Lists!$R$3,"Medium",IF(Q22&lt;=Lists!$R$4,"High","Critical"))))</f>
        <v/>
      </c>
      <c r="S22" s="18" t="str">
        <f aca="false">IF(B22="","",IF(K22="","No action required",IF(N22&lt;&gt;"","Complete",IF(M22="","No target date",IF(M22&lt;Dashboard!$C$5,"Overdue",IF(M22-Dashboard!$C$5&lt;=Lists!$R$5,"Due soon","Open"))))))</f>
        <v/>
      </c>
    </row>
    <row r="23" customFormat="false" ht="15" hidden="false" customHeight="false" outlineLevel="0" collapsed="false">
      <c r="A23" s="18" t="str">
        <f aca="false">IF(B23="","","FR-"&amp;TEXT(ROW()-4,"000"))</f>
        <v/>
      </c>
      <c r="B23" s="10"/>
      <c r="C23" s="10"/>
      <c r="D23" s="10"/>
      <c r="E23" s="10"/>
      <c r="F23" s="24"/>
      <c r="G23" s="24"/>
      <c r="H23" s="18" t="str">
        <f aca="false">IF(OR(F23="",G23=""),"",F23*G23)</f>
        <v/>
      </c>
      <c r="I23" s="18" t="str">
        <f aca="false">IF(H23="","",IF(H23&lt;=Lists!$R$2,"Low",IF(H23&lt;=Lists!$R$3,"Medium",IF(H23&lt;=Lists!$R$4,"High","Critical"))))</f>
        <v/>
      </c>
      <c r="J23" s="10"/>
      <c r="K23" s="10"/>
      <c r="L23" s="10"/>
      <c r="M23" s="11"/>
      <c r="N23" s="11"/>
      <c r="O23" s="24"/>
      <c r="P23" s="24"/>
      <c r="Q23" s="18" t="str">
        <f aca="false">IF(OR(O23="",P23=""),"",O23*P23)</f>
        <v/>
      </c>
      <c r="R23" s="18" t="str">
        <f aca="false">IF(Q23="","",IF(Q23&lt;=Lists!$R$2,"Low",IF(Q23&lt;=Lists!$R$3,"Medium",IF(Q23&lt;=Lists!$R$4,"High","Critical"))))</f>
        <v/>
      </c>
      <c r="S23" s="18" t="str">
        <f aca="false">IF(B23="","",IF(K23="","No action required",IF(N23&lt;&gt;"","Complete",IF(M23="","No target date",IF(M23&lt;Dashboard!$C$5,"Overdue",IF(M23-Dashboard!$C$5&lt;=Lists!$R$5,"Due soon","Open"))))))</f>
        <v/>
      </c>
    </row>
    <row r="24" customFormat="false" ht="15" hidden="false" customHeight="false" outlineLevel="0" collapsed="false">
      <c r="A24" s="18" t="str">
        <f aca="false">IF(B24="","","FR-"&amp;TEXT(ROW()-4,"000"))</f>
        <v/>
      </c>
      <c r="B24" s="10"/>
      <c r="C24" s="10"/>
      <c r="D24" s="10"/>
      <c r="E24" s="10"/>
      <c r="F24" s="24"/>
      <c r="G24" s="24"/>
      <c r="H24" s="18" t="str">
        <f aca="false">IF(OR(F24="",G24=""),"",F24*G24)</f>
        <v/>
      </c>
      <c r="I24" s="18" t="str">
        <f aca="false">IF(H24="","",IF(H24&lt;=Lists!$R$2,"Low",IF(H24&lt;=Lists!$R$3,"Medium",IF(H24&lt;=Lists!$R$4,"High","Critical"))))</f>
        <v/>
      </c>
      <c r="J24" s="10"/>
      <c r="K24" s="10"/>
      <c r="L24" s="10"/>
      <c r="M24" s="11"/>
      <c r="N24" s="11"/>
      <c r="O24" s="24"/>
      <c r="P24" s="24"/>
      <c r="Q24" s="18" t="str">
        <f aca="false">IF(OR(O24="",P24=""),"",O24*P24)</f>
        <v/>
      </c>
      <c r="R24" s="18" t="str">
        <f aca="false">IF(Q24="","",IF(Q24&lt;=Lists!$R$2,"Low",IF(Q24&lt;=Lists!$R$3,"Medium",IF(Q24&lt;=Lists!$R$4,"High","Critical"))))</f>
        <v/>
      </c>
      <c r="S24" s="18" t="str">
        <f aca="false">IF(B24="","",IF(K24="","No action required",IF(N24&lt;&gt;"","Complete",IF(M24="","No target date",IF(M24&lt;Dashboard!$C$5,"Overdue",IF(M24-Dashboard!$C$5&lt;=Lists!$R$5,"Due soon","Open"))))))</f>
        <v/>
      </c>
    </row>
    <row r="25" customFormat="false" ht="15" hidden="false" customHeight="false" outlineLevel="0" collapsed="false">
      <c r="A25" s="18" t="str">
        <f aca="false">IF(B25="","","FR-"&amp;TEXT(ROW()-4,"000"))</f>
        <v/>
      </c>
      <c r="B25" s="10"/>
      <c r="C25" s="10"/>
      <c r="D25" s="10"/>
      <c r="E25" s="10"/>
      <c r="F25" s="24"/>
      <c r="G25" s="24"/>
      <c r="H25" s="18" t="str">
        <f aca="false">IF(OR(F25="",G25=""),"",F25*G25)</f>
        <v/>
      </c>
      <c r="I25" s="18" t="str">
        <f aca="false">IF(H25="","",IF(H25&lt;=Lists!$R$2,"Low",IF(H25&lt;=Lists!$R$3,"Medium",IF(H25&lt;=Lists!$R$4,"High","Critical"))))</f>
        <v/>
      </c>
      <c r="J25" s="10"/>
      <c r="K25" s="10"/>
      <c r="L25" s="10"/>
      <c r="M25" s="11"/>
      <c r="N25" s="11"/>
      <c r="O25" s="24"/>
      <c r="P25" s="24"/>
      <c r="Q25" s="18" t="str">
        <f aca="false">IF(OR(O25="",P25=""),"",O25*P25)</f>
        <v/>
      </c>
      <c r="R25" s="18" t="str">
        <f aca="false">IF(Q25="","",IF(Q25&lt;=Lists!$R$2,"Low",IF(Q25&lt;=Lists!$R$3,"Medium",IF(Q25&lt;=Lists!$R$4,"High","Critical"))))</f>
        <v/>
      </c>
      <c r="S25" s="18" t="str">
        <f aca="false">IF(B25="","",IF(K25="","No action required",IF(N25&lt;&gt;"","Complete",IF(M25="","No target date",IF(M25&lt;Dashboard!$C$5,"Overdue",IF(M25-Dashboard!$C$5&lt;=Lists!$R$5,"Due soon","Open"))))))</f>
        <v/>
      </c>
    </row>
    <row r="26" customFormat="false" ht="15" hidden="false" customHeight="false" outlineLevel="0" collapsed="false">
      <c r="A26" s="18" t="str">
        <f aca="false">IF(B26="","","FR-"&amp;TEXT(ROW()-4,"000"))</f>
        <v/>
      </c>
      <c r="B26" s="10"/>
      <c r="C26" s="10"/>
      <c r="D26" s="10"/>
      <c r="E26" s="10"/>
      <c r="F26" s="24"/>
      <c r="G26" s="24"/>
      <c r="H26" s="18" t="str">
        <f aca="false">IF(OR(F26="",G26=""),"",F26*G26)</f>
        <v/>
      </c>
      <c r="I26" s="18" t="str">
        <f aca="false">IF(H26="","",IF(H26&lt;=Lists!$R$2,"Low",IF(H26&lt;=Lists!$R$3,"Medium",IF(H26&lt;=Lists!$R$4,"High","Critical"))))</f>
        <v/>
      </c>
      <c r="J26" s="10"/>
      <c r="K26" s="10"/>
      <c r="L26" s="10"/>
      <c r="M26" s="11"/>
      <c r="N26" s="11"/>
      <c r="O26" s="24"/>
      <c r="P26" s="24"/>
      <c r="Q26" s="18" t="str">
        <f aca="false">IF(OR(O26="",P26=""),"",O26*P26)</f>
        <v/>
      </c>
      <c r="R26" s="18" t="str">
        <f aca="false">IF(Q26="","",IF(Q26&lt;=Lists!$R$2,"Low",IF(Q26&lt;=Lists!$R$3,"Medium",IF(Q26&lt;=Lists!$R$4,"High","Critical"))))</f>
        <v/>
      </c>
      <c r="S26" s="18" t="str">
        <f aca="false">IF(B26="","",IF(K26="","No action required",IF(N26&lt;&gt;"","Complete",IF(M26="","No target date",IF(M26&lt;Dashboard!$C$5,"Overdue",IF(M26-Dashboard!$C$5&lt;=Lists!$R$5,"Due soon","Open"))))))</f>
        <v/>
      </c>
    </row>
    <row r="27" customFormat="false" ht="15" hidden="false" customHeight="false" outlineLevel="0" collapsed="false">
      <c r="A27" s="18" t="str">
        <f aca="false">IF(B27="","","FR-"&amp;TEXT(ROW()-4,"000"))</f>
        <v/>
      </c>
      <c r="B27" s="10"/>
      <c r="C27" s="10"/>
      <c r="D27" s="10"/>
      <c r="E27" s="10"/>
      <c r="F27" s="24"/>
      <c r="G27" s="24"/>
      <c r="H27" s="18" t="str">
        <f aca="false">IF(OR(F27="",G27=""),"",F27*G27)</f>
        <v/>
      </c>
      <c r="I27" s="18" t="str">
        <f aca="false">IF(H27="","",IF(H27&lt;=Lists!$R$2,"Low",IF(H27&lt;=Lists!$R$3,"Medium",IF(H27&lt;=Lists!$R$4,"High","Critical"))))</f>
        <v/>
      </c>
      <c r="J27" s="10"/>
      <c r="K27" s="10"/>
      <c r="L27" s="10"/>
      <c r="M27" s="11"/>
      <c r="N27" s="11"/>
      <c r="O27" s="24"/>
      <c r="P27" s="24"/>
      <c r="Q27" s="18" t="str">
        <f aca="false">IF(OR(O27="",P27=""),"",O27*P27)</f>
        <v/>
      </c>
      <c r="R27" s="18" t="str">
        <f aca="false">IF(Q27="","",IF(Q27&lt;=Lists!$R$2,"Low",IF(Q27&lt;=Lists!$R$3,"Medium",IF(Q27&lt;=Lists!$R$4,"High","Critical"))))</f>
        <v/>
      </c>
      <c r="S27" s="18" t="str">
        <f aca="false">IF(B27="","",IF(K27="","No action required",IF(N27&lt;&gt;"","Complete",IF(M27="","No target date",IF(M27&lt;Dashboard!$C$5,"Overdue",IF(M27-Dashboard!$C$5&lt;=Lists!$R$5,"Due soon","Open"))))))</f>
        <v/>
      </c>
    </row>
    <row r="28" customFormat="false" ht="15" hidden="false" customHeight="false" outlineLevel="0" collapsed="false">
      <c r="A28" s="18" t="str">
        <f aca="false">IF(B28="","","FR-"&amp;TEXT(ROW()-4,"000"))</f>
        <v/>
      </c>
      <c r="B28" s="10"/>
      <c r="C28" s="10"/>
      <c r="D28" s="10"/>
      <c r="E28" s="10"/>
      <c r="F28" s="24"/>
      <c r="G28" s="24"/>
      <c r="H28" s="18" t="str">
        <f aca="false">IF(OR(F28="",G28=""),"",F28*G28)</f>
        <v/>
      </c>
      <c r="I28" s="18" t="str">
        <f aca="false">IF(H28="","",IF(H28&lt;=Lists!$R$2,"Low",IF(H28&lt;=Lists!$R$3,"Medium",IF(H28&lt;=Lists!$R$4,"High","Critical"))))</f>
        <v/>
      </c>
      <c r="J28" s="10"/>
      <c r="K28" s="10"/>
      <c r="L28" s="10"/>
      <c r="M28" s="11"/>
      <c r="N28" s="11"/>
      <c r="O28" s="24"/>
      <c r="P28" s="24"/>
      <c r="Q28" s="18" t="str">
        <f aca="false">IF(OR(O28="",P28=""),"",O28*P28)</f>
        <v/>
      </c>
      <c r="R28" s="18" t="str">
        <f aca="false">IF(Q28="","",IF(Q28&lt;=Lists!$R$2,"Low",IF(Q28&lt;=Lists!$R$3,"Medium",IF(Q28&lt;=Lists!$R$4,"High","Critical"))))</f>
        <v/>
      </c>
      <c r="S28" s="18" t="str">
        <f aca="false">IF(B28="","",IF(K28="","No action required",IF(N28&lt;&gt;"","Complete",IF(M28="","No target date",IF(M28&lt;Dashboard!$C$5,"Overdue",IF(M28-Dashboard!$C$5&lt;=Lists!$R$5,"Due soon","Open"))))))</f>
        <v/>
      </c>
    </row>
    <row r="29" customFormat="false" ht="15" hidden="false" customHeight="false" outlineLevel="0" collapsed="false">
      <c r="A29" s="18" t="str">
        <f aca="false">IF(B29="","","FR-"&amp;TEXT(ROW()-4,"000"))</f>
        <v/>
      </c>
      <c r="B29" s="10"/>
      <c r="C29" s="10"/>
      <c r="D29" s="10"/>
      <c r="E29" s="10"/>
      <c r="F29" s="24"/>
      <c r="G29" s="24"/>
      <c r="H29" s="18" t="str">
        <f aca="false">IF(OR(F29="",G29=""),"",F29*G29)</f>
        <v/>
      </c>
      <c r="I29" s="18" t="str">
        <f aca="false">IF(H29="","",IF(H29&lt;=Lists!$R$2,"Low",IF(H29&lt;=Lists!$R$3,"Medium",IF(H29&lt;=Lists!$R$4,"High","Critical"))))</f>
        <v/>
      </c>
      <c r="J29" s="10"/>
      <c r="K29" s="10"/>
      <c r="L29" s="10"/>
      <c r="M29" s="11"/>
      <c r="N29" s="11"/>
      <c r="O29" s="24"/>
      <c r="P29" s="24"/>
      <c r="Q29" s="18" t="str">
        <f aca="false">IF(OR(O29="",P29=""),"",O29*P29)</f>
        <v/>
      </c>
      <c r="R29" s="18" t="str">
        <f aca="false">IF(Q29="","",IF(Q29&lt;=Lists!$R$2,"Low",IF(Q29&lt;=Lists!$R$3,"Medium",IF(Q29&lt;=Lists!$R$4,"High","Critical"))))</f>
        <v/>
      </c>
      <c r="S29" s="18" t="str">
        <f aca="false">IF(B29="","",IF(K29="","No action required",IF(N29&lt;&gt;"","Complete",IF(M29="","No target date",IF(M29&lt;Dashboard!$C$5,"Overdue",IF(M29-Dashboard!$C$5&lt;=Lists!$R$5,"Due soon","Open"))))))</f>
        <v/>
      </c>
    </row>
    <row r="30" customFormat="false" ht="15" hidden="false" customHeight="false" outlineLevel="0" collapsed="false">
      <c r="A30" s="18" t="str">
        <f aca="false">IF(B30="","","FR-"&amp;TEXT(ROW()-4,"000"))</f>
        <v/>
      </c>
      <c r="B30" s="10"/>
      <c r="C30" s="10"/>
      <c r="D30" s="10"/>
      <c r="E30" s="10"/>
      <c r="F30" s="24"/>
      <c r="G30" s="24"/>
      <c r="H30" s="18" t="str">
        <f aca="false">IF(OR(F30="",G30=""),"",F30*G30)</f>
        <v/>
      </c>
      <c r="I30" s="18" t="str">
        <f aca="false">IF(H30="","",IF(H30&lt;=Lists!$R$2,"Low",IF(H30&lt;=Lists!$R$3,"Medium",IF(H30&lt;=Lists!$R$4,"High","Critical"))))</f>
        <v/>
      </c>
      <c r="J30" s="10"/>
      <c r="K30" s="10"/>
      <c r="L30" s="10"/>
      <c r="M30" s="11"/>
      <c r="N30" s="11"/>
      <c r="O30" s="24"/>
      <c r="P30" s="24"/>
      <c r="Q30" s="18" t="str">
        <f aca="false">IF(OR(O30="",P30=""),"",O30*P30)</f>
        <v/>
      </c>
      <c r="R30" s="18" t="str">
        <f aca="false">IF(Q30="","",IF(Q30&lt;=Lists!$R$2,"Low",IF(Q30&lt;=Lists!$R$3,"Medium",IF(Q30&lt;=Lists!$R$4,"High","Critical"))))</f>
        <v/>
      </c>
      <c r="S30" s="18" t="str">
        <f aca="false">IF(B30="","",IF(K30="","No action required",IF(N30&lt;&gt;"","Complete",IF(M30="","No target date",IF(M30&lt;Dashboard!$C$5,"Overdue",IF(M30-Dashboard!$C$5&lt;=Lists!$R$5,"Due soon","Open"))))))</f>
        <v/>
      </c>
    </row>
    <row r="31" customFormat="false" ht="15" hidden="false" customHeight="false" outlineLevel="0" collapsed="false">
      <c r="A31" s="18" t="str">
        <f aca="false">IF(B31="","","FR-"&amp;TEXT(ROW()-4,"000"))</f>
        <v/>
      </c>
      <c r="B31" s="10"/>
      <c r="C31" s="10"/>
      <c r="D31" s="10"/>
      <c r="E31" s="10"/>
      <c r="F31" s="24"/>
      <c r="G31" s="24"/>
      <c r="H31" s="18" t="str">
        <f aca="false">IF(OR(F31="",G31=""),"",F31*G31)</f>
        <v/>
      </c>
      <c r="I31" s="18" t="str">
        <f aca="false">IF(H31="","",IF(H31&lt;=Lists!$R$2,"Low",IF(H31&lt;=Lists!$R$3,"Medium",IF(H31&lt;=Lists!$R$4,"High","Critical"))))</f>
        <v/>
      </c>
      <c r="J31" s="10"/>
      <c r="K31" s="10"/>
      <c r="L31" s="10"/>
      <c r="M31" s="11"/>
      <c r="N31" s="11"/>
      <c r="O31" s="24"/>
      <c r="P31" s="24"/>
      <c r="Q31" s="18" t="str">
        <f aca="false">IF(OR(O31="",P31=""),"",O31*P31)</f>
        <v/>
      </c>
      <c r="R31" s="18" t="str">
        <f aca="false">IF(Q31="","",IF(Q31&lt;=Lists!$R$2,"Low",IF(Q31&lt;=Lists!$R$3,"Medium",IF(Q31&lt;=Lists!$R$4,"High","Critical"))))</f>
        <v/>
      </c>
      <c r="S31" s="18" t="str">
        <f aca="false">IF(B31="","",IF(K31="","No action required",IF(N31&lt;&gt;"","Complete",IF(M31="","No target date",IF(M31&lt;Dashboard!$C$5,"Overdue",IF(M31-Dashboard!$C$5&lt;=Lists!$R$5,"Due soon","Open"))))))</f>
        <v/>
      </c>
    </row>
    <row r="32" customFormat="false" ht="15" hidden="false" customHeight="false" outlineLevel="0" collapsed="false">
      <c r="A32" s="18" t="str">
        <f aca="false">IF(B32="","","FR-"&amp;TEXT(ROW()-4,"000"))</f>
        <v/>
      </c>
      <c r="B32" s="10"/>
      <c r="C32" s="10"/>
      <c r="D32" s="10"/>
      <c r="E32" s="10"/>
      <c r="F32" s="24"/>
      <c r="G32" s="24"/>
      <c r="H32" s="18" t="str">
        <f aca="false">IF(OR(F32="",G32=""),"",F32*G32)</f>
        <v/>
      </c>
      <c r="I32" s="18" t="str">
        <f aca="false">IF(H32="","",IF(H32&lt;=Lists!$R$2,"Low",IF(H32&lt;=Lists!$R$3,"Medium",IF(H32&lt;=Lists!$R$4,"High","Critical"))))</f>
        <v/>
      </c>
      <c r="J32" s="10"/>
      <c r="K32" s="10"/>
      <c r="L32" s="10"/>
      <c r="M32" s="11"/>
      <c r="N32" s="11"/>
      <c r="O32" s="24"/>
      <c r="P32" s="24"/>
      <c r="Q32" s="18" t="str">
        <f aca="false">IF(OR(O32="",P32=""),"",O32*P32)</f>
        <v/>
      </c>
      <c r="R32" s="18" t="str">
        <f aca="false">IF(Q32="","",IF(Q32&lt;=Lists!$R$2,"Low",IF(Q32&lt;=Lists!$R$3,"Medium",IF(Q32&lt;=Lists!$R$4,"High","Critical"))))</f>
        <v/>
      </c>
      <c r="S32" s="18" t="str">
        <f aca="false">IF(B32="","",IF(K32="","No action required",IF(N32&lt;&gt;"","Complete",IF(M32="","No target date",IF(M32&lt;Dashboard!$C$5,"Overdue",IF(M32-Dashboard!$C$5&lt;=Lists!$R$5,"Due soon","Open"))))))</f>
        <v/>
      </c>
    </row>
    <row r="33" customFormat="false" ht="15" hidden="false" customHeight="false" outlineLevel="0" collapsed="false">
      <c r="A33" s="18" t="str">
        <f aca="false">IF(B33="","","FR-"&amp;TEXT(ROW()-4,"000"))</f>
        <v/>
      </c>
      <c r="B33" s="10"/>
      <c r="C33" s="10"/>
      <c r="D33" s="10"/>
      <c r="E33" s="10"/>
      <c r="F33" s="24"/>
      <c r="G33" s="24"/>
      <c r="H33" s="18" t="str">
        <f aca="false">IF(OR(F33="",G33=""),"",F33*G33)</f>
        <v/>
      </c>
      <c r="I33" s="18" t="str">
        <f aca="false">IF(H33="","",IF(H33&lt;=Lists!$R$2,"Low",IF(H33&lt;=Lists!$R$3,"Medium",IF(H33&lt;=Lists!$R$4,"High","Critical"))))</f>
        <v/>
      </c>
      <c r="J33" s="10"/>
      <c r="K33" s="10"/>
      <c r="L33" s="10"/>
      <c r="M33" s="11"/>
      <c r="N33" s="11"/>
      <c r="O33" s="24"/>
      <c r="P33" s="24"/>
      <c r="Q33" s="18" t="str">
        <f aca="false">IF(OR(O33="",P33=""),"",O33*P33)</f>
        <v/>
      </c>
      <c r="R33" s="18" t="str">
        <f aca="false">IF(Q33="","",IF(Q33&lt;=Lists!$R$2,"Low",IF(Q33&lt;=Lists!$R$3,"Medium",IF(Q33&lt;=Lists!$R$4,"High","Critical"))))</f>
        <v/>
      </c>
      <c r="S33" s="18" t="str">
        <f aca="false">IF(B33="","",IF(K33="","No action required",IF(N33&lt;&gt;"","Complete",IF(M33="","No target date",IF(M33&lt;Dashboard!$C$5,"Overdue",IF(M33-Dashboard!$C$5&lt;=Lists!$R$5,"Due soon","Open"))))))</f>
        <v/>
      </c>
    </row>
    <row r="34" customFormat="false" ht="15" hidden="false" customHeight="false" outlineLevel="0" collapsed="false">
      <c r="A34" s="18" t="str">
        <f aca="false">IF(B34="","","FR-"&amp;TEXT(ROW()-4,"000"))</f>
        <v/>
      </c>
      <c r="B34" s="10"/>
      <c r="C34" s="10"/>
      <c r="D34" s="10"/>
      <c r="E34" s="10"/>
      <c r="F34" s="24"/>
      <c r="G34" s="24"/>
      <c r="H34" s="18" t="str">
        <f aca="false">IF(OR(F34="",G34=""),"",F34*G34)</f>
        <v/>
      </c>
      <c r="I34" s="18" t="str">
        <f aca="false">IF(H34="","",IF(H34&lt;=Lists!$R$2,"Low",IF(H34&lt;=Lists!$R$3,"Medium",IF(H34&lt;=Lists!$R$4,"High","Critical"))))</f>
        <v/>
      </c>
      <c r="J34" s="10"/>
      <c r="K34" s="10"/>
      <c r="L34" s="10"/>
      <c r="M34" s="11"/>
      <c r="N34" s="11"/>
      <c r="O34" s="24"/>
      <c r="P34" s="24"/>
      <c r="Q34" s="18" t="str">
        <f aca="false">IF(OR(O34="",P34=""),"",O34*P34)</f>
        <v/>
      </c>
      <c r="R34" s="18" t="str">
        <f aca="false">IF(Q34="","",IF(Q34&lt;=Lists!$R$2,"Low",IF(Q34&lt;=Lists!$R$3,"Medium",IF(Q34&lt;=Lists!$R$4,"High","Critical"))))</f>
        <v/>
      </c>
      <c r="S34" s="18" t="str">
        <f aca="false">IF(B34="","",IF(K34="","No action required",IF(N34&lt;&gt;"","Complete",IF(M34="","No target date",IF(M34&lt;Dashboard!$C$5,"Overdue",IF(M34-Dashboard!$C$5&lt;=Lists!$R$5,"Due soon","Open"))))))</f>
        <v/>
      </c>
    </row>
    <row r="35" customFormat="false" ht="15" hidden="false" customHeight="false" outlineLevel="0" collapsed="false">
      <c r="A35" s="18" t="str">
        <f aca="false">IF(B35="","","FR-"&amp;TEXT(ROW()-4,"000"))</f>
        <v/>
      </c>
      <c r="B35" s="10"/>
      <c r="C35" s="10"/>
      <c r="D35" s="10"/>
      <c r="E35" s="10"/>
      <c r="F35" s="24"/>
      <c r="G35" s="24"/>
      <c r="H35" s="18" t="str">
        <f aca="false">IF(OR(F35="",G35=""),"",F35*G35)</f>
        <v/>
      </c>
      <c r="I35" s="18" t="str">
        <f aca="false">IF(H35="","",IF(H35&lt;=Lists!$R$2,"Low",IF(H35&lt;=Lists!$R$3,"Medium",IF(H35&lt;=Lists!$R$4,"High","Critical"))))</f>
        <v/>
      </c>
      <c r="J35" s="10"/>
      <c r="K35" s="10"/>
      <c r="L35" s="10"/>
      <c r="M35" s="11"/>
      <c r="N35" s="11"/>
      <c r="O35" s="24"/>
      <c r="P35" s="24"/>
      <c r="Q35" s="18" t="str">
        <f aca="false">IF(OR(O35="",P35=""),"",O35*P35)</f>
        <v/>
      </c>
      <c r="R35" s="18" t="str">
        <f aca="false">IF(Q35="","",IF(Q35&lt;=Lists!$R$2,"Low",IF(Q35&lt;=Lists!$R$3,"Medium",IF(Q35&lt;=Lists!$R$4,"High","Critical"))))</f>
        <v/>
      </c>
      <c r="S35" s="18" t="str">
        <f aca="false">IF(B35="","",IF(K35="","No action required",IF(N35&lt;&gt;"","Complete",IF(M35="","No target date",IF(M35&lt;Dashboard!$C$5,"Overdue",IF(M35-Dashboard!$C$5&lt;=Lists!$R$5,"Due soon","Open"))))))</f>
        <v/>
      </c>
    </row>
    <row r="36" customFormat="false" ht="15" hidden="false" customHeight="false" outlineLevel="0" collapsed="false">
      <c r="A36" s="18" t="str">
        <f aca="false">IF(B36="","","FR-"&amp;TEXT(ROW()-4,"000"))</f>
        <v/>
      </c>
      <c r="B36" s="10"/>
      <c r="C36" s="10"/>
      <c r="D36" s="10"/>
      <c r="E36" s="10"/>
      <c r="F36" s="24"/>
      <c r="G36" s="24"/>
      <c r="H36" s="18" t="str">
        <f aca="false">IF(OR(F36="",G36=""),"",F36*G36)</f>
        <v/>
      </c>
      <c r="I36" s="18" t="str">
        <f aca="false">IF(H36="","",IF(H36&lt;=Lists!$R$2,"Low",IF(H36&lt;=Lists!$R$3,"Medium",IF(H36&lt;=Lists!$R$4,"High","Critical"))))</f>
        <v/>
      </c>
      <c r="J36" s="10"/>
      <c r="K36" s="10"/>
      <c r="L36" s="10"/>
      <c r="M36" s="11"/>
      <c r="N36" s="11"/>
      <c r="O36" s="24"/>
      <c r="P36" s="24"/>
      <c r="Q36" s="18" t="str">
        <f aca="false">IF(OR(O36="",P36=""),"",O36*P36)</f>
        <v/>
      </c>
      <c r="R36" s="18" t="str">
        <f aca="false">IF(Q36="","",IF(Q36&lt;=Lists!$R$2,"Low",IF(Q36&lt;=Lists!$R$3,"Medium",IF(Q36&lt;=Lists!$R$4,"High","Critical"))))</f>
        <v/>
      </c>
      <c r="S36" s="18" t="str">
        <f aca="false">IF(B36="","",IF(K36="","No action required",IF(N36&lt;&gt;"","Complete",IF(M36="","No target date",IF(M36&lt;Dashboard!$C$5,"Overdue",IF(M36-Dashboard!$C$5&lt;=Lists!$R$5,"Due soon","Open"))))))</f>
        <v/>
      </c>
    </row>
    <row r="37" customFormat="false" ht="15" hidden="false" customHeight="false" outlineLevel="0" collapsed="false">
      <c r="A37" s="18" t="str">
        <f aca="false">IF(B37="","","FR-"&amp;TEXT(ROW()-4,"000"))</f>
        <v/>
      </c>
      <c r="B37" s="10"/>
      <c r="C37" s="10"/>
      <c r="D37" s="10"/>
      <c r="E37" s="10"/>
      <c r="F37" s="24"/>
      <c r="G37" s="24"/>
      <c r="H37" s="18" t="str">
        <f aca="false">IF(OR(F37="",G37=""),"",F37*G37)</f>
        <v/>
      </c>
      <c r="I37" s="18" t="str">
        <f aca="false">IF(H37="","",IF(H37&lt;=Lists!$R$2,"Low",IF(H37&lt;=Lists!$R$3,"Medium",IF(H37&lt;=Lists!$R$4,"High","Critical"))))</f>
        <v/>
      </c>
      <c r="J37" s="10"/>
      <c r="K37" s="10"/>
      <c r="L37" s="10"/>
      <c r="M37" s="11"/>
      <c r="N37" s="11"/>
      <c r="O37" s="24"/>
      <c r="P37" s="24"/>
      <c r="Q37" s="18" t="str">
        <f aca="false">IF(OR(O37="",P37=""),"",O37*P37)</f>
        <v/>
      </c>
      <c r="R37" s="18" t="str">
        <f aca="false">IF(Q37="","",IF(Q37&lt;=Lists!$R$2,"Low",IF(Q37&lt;=Lists!$R$3,"Medium",IF(Q37&lt;=Lists!$R$4,"High","Critical"))))</f>
        <v/>
      </c>
      <c r="S37" s="18" t="str">
        <f aca="false">IF(B37="","",IF(K37="","No action required",IF(N37&lt;&gt;"","Complete",IF(M37="","No target date",IF(M37&lt;Dashboard!$C$5,"Overdue",IF(M37-Dashboard!$C$5&lt;=Lists!$R$5,"Due soon","Open"))))))</f>
        <v/>
      </c>
    </row>
    <row r="38" customFormat="false" ht="15" hidden="false" customHeight="false" outlineLevel="0" collapsed="false">
      <c r="A38" s="18" t="str">
        <f aca="false">IF(B38="","","FR-"&amp;TEXT(ROW()-4,"000"))</f>
        <v/>
      </c>
      <c r="B38" s="10"/>
      <c r="C38" s="10"/>
      <c r="D38" s="10"/>
      <c r="E38" s="10"/>
      <c r="F38" s="24"/>
      <c r="G38" s="24"/>
      <c r="H38" s="18" t="str">
        <f aca="false">IF(OR(F38="",G38=""),"",F38*G38)</f>
        <v/>
      </c>
      <c r="I38" s="18" t="str">
        <f aca="false">IF(H38="","",IF(H38&lt;=Lists!$R$2,"Low",IF(H38&lt;=Lists!$R$3,"Medium",IF(H38&lt;=Lists!$R$4,"High","Critical"))))</f>
        <v/>
      </c>
      <c r="J38" s="10"/>
      <c r="K38" s="10"/>
      <c r="L38" s="10"/>
      <c r="M38" s="11"/>
      <c r="N38" s="11"/>
      <c r="O38" s="24"/>
      <c r="P38" s="24"/>
      <c r="Q38" s="18" t="str">
        <f aca="false">IF(OR(O38="",P38=""),"",O38*P38)</f>
        <v/>
      </c>
      <c r="R38" s="18" t="str">
        <f aca="false">IF(Q38="","",IF(Q38&lt;=Lists!$R$2,"Low",IF(Q38&lt;=Lists!$R$3,"Medium",IF(Q38&lt;=Lists!$R$4,"High","Critical"))))</f>
        <v/>
      </c>
      <c r="S38" s="18" t="str">
        <f aca="false">IF(B38="","",IF(K38="","No action required",IF(N38&lt;&gt;"","Complete",IF(M38="","No target date",IF(M38&lt;Dashboard!$C$5,"Overdue",IF(M38-Dashboard!$C$5&lt;=Lists!$R$5,"Due soon","Open"))))))</f>
        <v/>
      </c>
    </row>
    <row r="39" customFormat="false" ht="15" hidden="false" customHeight="false" outlineLevel="0" collapsed="false">
      <c r="A39" s="18" t="str">
        <f aca="false">IF(B39="","","FR-"&amp;TEXT(ROW()-4,"000"))</f>
        <v/>
      </c>
      <c r="B39" s="10"/>
      <c r="C39" s="10"/>
      <c r="D39" s="10"/>
      <c r="E39" s="10"/>
      <c r="F39" s="24"/>
      <c r="G39" s="24"/>
      <c r="H39" s="18" t="str">
        <f aca="false">IF(OR(F39="",G39=""),"",F39*G39)</f>
        <v/>
      </c>
      <c r="I39" s="18" t="str">
        <f aca="false">IF(H39="","",IF(H39&lt;=Lists!$R$2,"Low",IF(H39&lt;=Lists!$R$3,"Medium",IF(H39&lt;=Lists!$R$4,"High","Critical"))))</f>
        <v/>
      </c>
      <c r="J39" s="10"/>
      <c r="K39" s="10"/>
      <c r="L39" s="10"/>
      <c r="M39" s="11"/>
      <c r="N39" s="11"/>
      <c r="O39" s="24"/>
      <c r="P39" s="24"/>
      <c r="Q39" s="18" t="str">
        <f aca="false">IF(OR(O39="",P39=""),"",O39*P39)</f>
        <v/>
      </c>
      <c r="R39" s="18" t="str">
        <f aca="false">IF(Q39="","",IF(Q39&lt;=Lists!$R$2,"Low",IF(Q39&lt;=Lists!$R$3,"Medium",IF(Q39&lt;=Lists!$R$4,"High","Critical"))))</f>
        <v/>
      </c>
      <c r="S39" s="18" t="str">
        <f aca="false">IF(B39="","",IF(K39="","No action required",IF(N39&lt;&gt;"","Complete",IF(M39="","No target date",IF(M39&lt;Dashboard!$C$5,"Overdue",IF(M39-Dashboard!$C$5&lt;=Lists!$R$5,"Due soon","Open"))))))</f>
        <v/>
      </c>
    </row>
    <row r="40" customFormat="false" ht="15" hidden="false" customHeight="false" outlineLevel="0" collapsed="false">
      <c r="A40" s="18" t="str">
        <f aca="false">IF(B40="","","FR-"&amp;TEXT(ROW()-4,"000"))</f>
        <v/>
      </c>
      <c r="B40" s="10"/>
      <c r="C40" s="10"/>
      <c r="D40" s="10"/>
      <c r="E40" s="10"/>
      <c r="F40" s="24"/>
      <c r="G40" s="24"/>
      <c r="H40" s="18" t="str">
        <f aca="false">IF(OR(F40="",G40=""),"",F40*G40)</f>
        <v/>
      </c>
      <c r="I40" s="18" t="str">
        <f aca="false">IF(H40="","",IF(H40&lt;=Lists!$R$2,"Low",IF(H40&lt;=Lists!$R$3,"Medium",IF(H40&lt;=Lists!$R$4,"High","Critical"))))</f>
        <v/>
      </c>
      <c r="J40" s="10"/>
      <c r="K40" s="10"/>
      <c r="L40" s="10"/>
      <c r="M40" s="11"/>
      <c r="N40" s="11"/>
      <c r="O40" s="24"/>
      <c r="P40" s="24"/>
      <c r="Q40" s="18" t="str">
        <f aca="false">IF(OR(O40="",P40=""),"",O40*P40)</f>
        <v/>
      </c>
      <c r="R40" s="18" t="str">
        <f aca="false">IF(Q40="","",IF(Q40&lt;=Lists!$R$2,"Low",IF(Q40&lt;=Lists!$R$3,"Medium",IF(Q40&lt;=Lists!$R$4,"High","Critical"))))</f>
        <v/>
      </c>
      <c r="S40" s="18" t="str">
        <f aca="false">IF(B40="","",IF(K40="","No action required",IF(N40&lt;&gt;"","Complete",IF(M40="","No target date",IF(M40&lt;Dashboard!$C$5,"Overdue",IF(M40-Dashboard!$C$5&lt;=Lists!$R$5,"Due soon","Open"))))))</f>
        <v/>
      </c>
    </row>
    <row r="41" customFormat="false" ht="15" hidden="false" customHeight="false" outlineLevel="0" collapsed="false">
      <c r="A41" s="18" t="str">
        <f aca="false">IF(B41="","","FR-"&amp;TEXT(ROW()-4,"000"))</f>
        <v/>
      </c>
      <c r="B41" s="10"/>
      <c r="C41" s="10"/>
      <c r="D41" s="10"/>
      <c r="E41" s="10"/>
      <c r="F41" s="24"/>
      <c r="G41" s="24"/>
      <c r="H41" s="18" t="str">
        <f aca="false">IF(OR(F41="",G41=""),"",F41*G41)</f>
        <v/>
      </c>
      <c r="I41" s="18" t="str">
        <f aca="false">IF(H41="","",IF(H41&lt;=Lists!$R$2,"Low",IF(H41&lt;=Lists!$R$3,"Medium",IF(H41&lt;=Lists!$R$4,"High","Critical"))))</f>
        <v/>
      </c>
      <c r="J41" s="10"/>
      <c r="K41" s="10"/>
      <c r="L41" s="10"/>
      <c r="M41" s="11"/>
      <c r="N41" s="11"/>
      <c r="O41" s="24"/>
      <c r="P41" s="24"/>
      <c r="Q41" s="18" t="str">
        <f aca="false">IF(OR(O41="",P41=""),"",O41*P41)</f>
        <v/>
      </c>
      <c r="R41" s="18" t="str">
        <f aca="false">IF(Q41="","",IF(Q41&lt;=Lists!$R$2,"Low",IF(Q41&lt;=Lists!$R$3,"Medium",IF(Q41&lt;=Lists!$R$4,"High","Critical"))))</f>
        <v/>
      </c>
      <c r="S41" s="18" t="str">
        <f aca="false">IF(B41="","",IF(K41="","No action required",IF(N41&lt;&gt;"","Complete",IF(M41="","No target date",IF(M41&lt;Dashboard!$C$5,"Overdue",IF(M41-Dashboard!$C$5&lt;=Lists!$R$5,"Due soon","Open"))))))</f>
        <v/>
      </c>
    </row>
    <row r="42" customFormat="false" ht="15" hidden="false" customHeight="false" outlineLevel="0" collapsed="false">
      <c r="A42" s="18" t="str">
        <f aca="false">IF(B42="","","FR-"&amp;TEXT(ROW()-4,"000"))</f>
        <v/>
      </c>
      <c r="B42" s="10"/>
      <c r="C42" s="10"/>
      <c r="D42" s="10"/>
      <c r="E42" s="10"/>
      <c r="F42" s="24"/>
      <c r="G42" s="24"/>
      <c r="H42" s="18" t="str">
        <f aca="false">IF(OR(F42="",G42=""),"",F42*G42)</f>
        <v/>
      </c>
      <c r="I42" s="18" t="str">
        <f aca="false">IF(H42="","",IF(H42&lt;=Lists!$R$2,"Low",IF(H42&lt;=Lists!$R$3,"Medium",IF(H42&lt;=Lists!$R$4,"High","Critical"))))</f>
        <v/>
      </c>
      <c r="J42" s="10"/>
      <c r="K42" s="10"/>
      <c r="L42" s="10"/>
      <c r="M42" s="11"/>
      <c r="N42" s="11"/>
      <c r="O42" s="24"/>
      <c r="P42" s="24"/>
      <c r="Q42" s="18" t="str">
        <f aca="false">IF(OR(O42="",P42=""),"",O42*P42)</f>
        <v/>
      </c>
      <c r="R42" s="18" t="str">
        <f aca="false">IF(Q42="","",IF(Q42&lt;=Lists!$R$2,"Low",IF(Q42&lt;=Lists!$R$3,"Medium",IF(Q42&lt;=Lists!$R$4,"High","Critical"))))</f>
        <v/>
      </c>
      <c r="S42" s="18" t="str">
        <f aca="false">IF(B42="","",IF(K42="","No action required",IF(N42&lt;&gt;"","Complete",IF(M42="","No target date",IF(M42&lt;Dashboard!$C$5,"Overdue",IF(M42-Dashboard!$C$5&lt;=Lists!$R$5,"Due soon","Open"))))))</f>
        <v/>
      </c>
    </row>
    <row r="43" customFormat="false" ht="15" hidden="false" customHeight="false" outlineLevel="0" collapsed="false">
      <c r="A43" s="18" t="str">
        <f aca="false">IF(B43="","","FR-"&amp;TEXT(ROW()-4,"000"))</f>
        <v/>
      </c>
      <c r="B43" s="10"/>
      <c r="C43" s="10"/>
      <c r="D43" s="10"/>
      <c r="E43" s="10"/>
      <c r="F43" s="24"/>
      <c r="G43" s="24"/>
      <c r="H43" s="18" t="str">
        <f aca="false">IF(OR(F43="",G43=""),"",F43*G43)</f>
        <v/>
      </c>
      <c r="I43" s="18" t="str">
        <f aca="false">IF(H43="","",IF(H43&lt;=Lists!$R$2,"Low",IF(H43&lt;=Lists!$R$3,"Medium",IF(H43&lt;=Lists!$R$4,"High","Critical"))))</f>
        <v/>
      </c>
      <c r="J43" s="10"/>
      <c r="K43" s="10"/>
      <c r="L43" s="10"/>
      <c r="M43" s="11"/>
      <c r="N43" s="11"/>
      <c r="O43" s="24"/>
      <c r="P43" s="24"/>
      <c r="Q43" s="18" t="str">
        <f aca="false">IF(OR(O43="",P43=""),"",O43*P43)</f>
        <v/>
      </c>
      <c r="R43" s="18" t="str">
        <f aca="false">IF(Q43="","",IF(Q43&lt;=Lists!$R$2,"Low",IF(Q43&lt;=Lists!$R$3,"Medium",IF(Q43&lt;=Lists!$R$4,"High","Critical"))))</f>
        <v/>
      </c>
      <c r="S43" s="18" t="str">
        <f aca="false">IF(B43="","",IF(K43="","No action required",IF(N43&lt;&gt;"","Complete",IF(M43="","No target date",IF(M43&lt;Dashboard!$C$5,"Overdue",IF(M43-Dashboard!$C$5&lt;=Lists!$R$5,"Due soon","Open"))))))</f>
        <v/>
      </c>
    </row>
    <row r="44" customFormat="false" ht="15" hidden="false" customHeight="false" outlineLevel="0" collapsed="false">
      <c r="A44" s="18" t="str">
        <f aca="false">IF(B44="","","FR-"&amp;TEXT(ROW()-4,"000"))</f>
        <v/>
      </c>
      <c r="B44" s="10"/>
      <c r="C44" s="10"/>
      <c r="D44" s="10"/>
      <c r="E44" s="10"/>
      <c r="F44" s="24"/>
      <c r="G44" s="24"/>
      <c r="H44" s="18" t="str">
        <f aca="false">IF(OR(F44="",G44=""),"",F44*G44)</f>
        <v/>
      </c>
      <c r="I44" s="18" t="str">
        <f aca="false">IF(H44="","",IF(H44&lt;=Lists!$R$2,"Low",IF(H44&lt;=Lists!$R$3,"Medium",IF(H44&lt;=Lists!$R$4,"High","Critical"))))</f>
        <v/>
      </c>
      <c r="J44" s="10"/>
      <c r="K44" s="10"/>
      <c r="L44" s="10"/>
      <c r="M44" s="11"/>
      <c r="N44" s="11"/>
      <c r="O44" s="24"/>
      <c r="P44" s="24"/>
      <c r="Q44" s="18" t="str">
        <f aca="false">IF(OR(O44="",P44=""),"",O44*P44)</f>
        <v/>
      </c>
      <c r="R44" s="18" t="str">
        <f aca="false">IF(Q44="","",IF(Q44&lt;=Lists!$R$2,"Low",IF(Q44&lt;=Lists!$R$3,"Medium",IF(Q44&lt;=Lists!$R$4,"High","Critical"))))</f>
        <v/>
      </c>
      <c r="S44" s="18" t="str">
        <f aca="false">IF(B44="","",IF(K44="","No action required",IF(N44&lt;&gt;"","Complete",IF(M44="","No target date",IF(M44&lt;Dashboard!$C$5,"Overdue",IF(M44-Dashboard!$C$5&lt;=Lists!$R$5,"Due soon","Open"))))))</f>
        <v/>
      </c>
    </row>
    <row r="45" customFormat="false" ht="15" hidden="false" customHeight="false" outlineLevel="0" collapsed="false">
      <c r="A45" s="18" t="str">
        <f aca="false">IF(B45="","","FR-"&amp;TEXT(ROW()-4,"000"))</f>
        <v/>
      </c>
      <c r="B45" s="10"/>
      <c r="C45" s="10"/>
      <c r="D45" s="10"/>
      <c r="E45" s="10"/>
      <c r="F45" s="24"/>
      <c r="G45" s="24"/>
      <c r="H45" s="18" t="str">
        <f aca="false">IF(OR(F45="",G45=""),"",F45*G45)</f>
        <v/>
      </c>
      <c r="I45" s="18" t="str">
        <f aca="false">IF(H45="","",IF(H45&lt;=Lists!$R$2,"Low",IF(H45&lt;=Lists!$R$3,"Medium",IF(H45&lt;=Lists!$R$4,"High","Critical"))))</f>
        <v/>
      </c>
      <c r="J45" s="10"/>
      <c r="K45" s="10"/>
      <c r="L45" s="10"/>
      <c r="M45" s="11"/>
      <c r="N45" s="11"/>
      <c r="O45" s="24"/>
      <c r="P45" s="24"/>
      <c r="Q45" s="18" t="str">
        <f aca="false">IF(OR(O45="",P45=""),"",O45*P45)</f>
        <v/>
      </c>
      <c r="R45" s="18" t="str">
        <f aca="false">IF(Q45="","",IF(Q45&lt;=Lists!$R$2,"Low",IF(Q45&lt;=Lists!$R$3,"Medium",IF(Q45&lt;=Lists!$R$4,"High","Critical"))))</f>
        <v/>
      </c>
      <c r="S45" s="18" t="str">
        <f aca="false">IF(B45="","",IF(K45="","No action required",IF(N45&lt;&gt;"","Complete",IF(M45="","No target date",IF(M45&lt;Dashboard!$C$5,"Overdue",IF(M45-Dashboard!$C$5&lt;=Lists!$R$5,"Due soon","Open"))))))</f>
        <v/>
      </c>
    </row>
    <row r="46" customFormat="false" ht="15" hidden="false" customHeight="false" outlineLevel="0" collapsed="false">
      <c r="A46" s="18" t="str">
        <f aca="false">IF(B46="","","FR-"&amp;TEXT(ROW()-4,"000"))</f>
        <v/>
      </c>
      <c r="B46" s="10"/>
      <c r="C46" s="10"/>
      <c r="D46" s="10"/>
      <c r="E46" s="10"/>
      <c r="F46" s="24"/>
      <c r="G46" s="24"/>
      <c r="H46" s="18" t="str">
        <f aca="false">IF(OR(F46="",G46=""),"",F46*G46)</f>
        <v/>
      </c>
      <c r="I46" s="18" t="str">
        <f aca="false">IF(H46="","",IF(H46&lt;=Lists!$R$2,"Low",IF(H46&lt;=Lists!$R$3,"Medium",IF(H46&lt;=Lists!$R$4,"High","Critical"))))</f>
        <v/>
      </c>
      <c r="J46" s="10"/>
      <c r="K46" s="10"/>
      <c r="L46" s="10"/>
      <c r="M46" s="11"/>
      <c r="N46" s="11"/>
      <c r="O46" s="24"/>
      <c r="P46" s="24"/>
      <c r="Q46" s="18" t="str">
        <f aca="false">IF(OR(O46="",P46=""),"",O46*P46)</f>
        <v/>
      </c>
      <c r="R46" s="18" t="str">
        <f aca="false">IF(Q46="","",IF(Q46&lt;=Lists!$R$2,"Low",IF(Q46&lt;=Lists!$R$3,"Medium",IF(Q46&lt;=Lists!$R$4,"High","Critical"))))</f>
        <v/>
      </c>
      <c r="S46" s="18" t="str">
        <f aca="false">IF(B46="","",IF(K46="","No action required",IF(N46&lt;&gt;"","Complete",IF(M46="","No target date",IF(M46&lt;Dashboard!$C$5,"Overdue",IF(M46-Dashboard!$C$5&lt;=Lists!$R$5,"Due soon","Open"))))))</f>
        <v/>
      </c>
    </row>
    <row r="47" customFormat="false" ht="15" hidden="false" customHeight="false" outlineLevel="0" collapsed="false">
      <c r="A47" s="18" t="str">
        <f aca="false">IF(B47="","","FR-"&amp;TEXT(ROW()-4,"000"))</f>
        <v/>
      </c>
      <c r="B47" s="10"/>
      <c r="C47" s="10"/>
      <c r="D47" s="10"/>
      <c r="E47" s="10"/>
      <c r="F47" s="24"/>
      <c r="G47" s="24"/>
      <c r="H47" s="18" t="str">
        <f aca="false">IF(OR(F47="",G47=""),"",F47*G47)</f>
        <v/>
      </c>
      <c r="I47" s="18" t="str">
        <f aca="false">IF(H47="","",IF(H47&lt;=Lists!$R$2,"Low",IF(H47&lt;=Lists!$R$3,"Medium",IF(H47&lt;=Lists!$R$4,"High","Critical"))))</f>
        <v/>
      </c>
      <c r="J47" s="10"/>
      <c r="K47" s="10"/>
      <c r="L47" s="10"/>
      <c r="M47" s="11"/>
      <c r="N47" s="11"/>
      <c r="O47" s="24"/>
      <c r="P47" s="24"/>
      <c r="Q47" s="18" t="str">
        <f aca="false">IF(OR(O47="",P47=""),"",O47*P47)</f>
        <v/>
      </c>
      <c r="R47" s="18" t="str">
        <f aca="false">IF(Q47="","",IF(Q47&lt;=Lists!$R$2,"Low",IF(Q47&lt;=Lists!$R$3,"Medium",IF(Q47&lt;=Lists!$R$4,"High","Critical"))))</f>
        <v/>
      </c>
      <c r="S47" s="18" t="str">
        <f aca="false">IF(B47="","",IF(K47="","No action required",IF(N47&lt;&gt;"","Complete",IF(M47="","No target date",IF(M47&lt;Dashboard!$C$5,"Overdue",IF(M47-Dashboard!$C$5&lt;=Lists!$R$5,"Due soon","Open"))))))</f>
        <v/>
      </c>
    </row>
    <row r="48" customFormat="false" ht="15" hidden="false" customHeight="false" outlineLevel="0" collapsed="false">
      <c r="A48" s="18" t="str">
        <f aca="false">IF(B48="","","FR-"&amp;TEXT(ROW()-4,"000"))</f>
        <v/>
      </c>
      <c r="B48" s="10"/>
      <c r="C48" s="10"/>
      <c r="D48" s="10"/>
      <c r="E48" s="10"/>
      <c r="F48" s="24"/>
      <c r="G48" s="24"/>
      <c r="H48" s="18" t="str">
        <f aca="false">IF(OR(F48="",G48=""),"",F48*G48)</f>
        <v/>
      </c>
      <c r="I48" s="18" t="str">
        <f aca="false">IF(H48="","",IF(H48&lt;=Lists!$R$2,"Low",IF(H48&lt;=Lists!$R$3,"Medium",IF(H48&lt;=Lists!$R$4,"High","Critical"))))</f>
        <v/>
      </c>
      <c r="J48" s="10"/>
      <c r="K48" s="10"/>
      <c r="L48" s="10"/>
      <c r="M48" s="11"/>
      <c r="N48" s="11"/>
      <c r="O48" s="24"/>
      <c r="P48" s="24"/>
      <c r="Q48" s="18" t="str">
        <f aca="false">IF(OR(O48="",P48=""),"",O48*P48)</f>
        <v/>
      </c>
      <c r="R48" s="18" t="str">
        <f aca="false">IF(Q48="","",IF(Q48&lt;=Lists!$R$2,"Low",IF(Q48&lt;=Lists!$R$3,"Medium",IF(Q48&lt;=Lists!$R$4,"High","Critical"))))</f>
        <v/>
      </c>
      <c r="S48" s="18" t="str">
        <f aca="false">IF(B48="","",IF(K48="","No action required",IF(N48&lt;&gt;"","Complete",IF(M48="","No target date",IF(M48&lt;Dashboard!$C$5,"Overdue",IF(M48-Dashboard!$C$5&lt;=Lists!$R$5,"Due soon","Open"))))))</f>
        <v/>
      </c>
    </row>
    <row r="49" customFormat="false" ht="15" hidden="false" customHeight="false" outlineLevel="0" collapsed="false">
      <c r="A49" s="18" t="str">
        <f aca="false">IF(B49="","","FR-"&amp;TEXT(ROW()-4,"000"))</f>
        <v/>
      </c>
      <c r="B49" s="10"/>
      <c r="C49" s="10"/>
      <c r="D49" s="10"/>
      <c r="E49" s="10"/>
      <c r="F49" s="24"/>
      <c r="G49" s="24"/>
      <c r="H49" s="18" t="str">
        <f aca="false">IF(OR(F49="",G49=""),"",F49*G49)</f>
        <v/>
      </c>
      <c r="I49" s="18" t="str">
        <f aca="false">IF(H49="","",IF(H49&lt;=Lists!$R$2,"Low",IF(H49&lt;=Lists!$R$3,"Medium",IF(H49&lt;=Lists!$R$4,"High","Critical"))))</f>
        <v/>
      </c>
      <c r="J49" s="10"/>
      <c r="K49" s="10"/>
      <c r="L49" s="10"/>
      <c r="M49" s="11"/>
      <c r="N49" s="11"/>
      <c r="O49" s="24"/>
      <c r="P49" s="24"/>
      <c r="Q49" s="18" t="str">
        <f aca="false">IF(OR(O49="",P49=""),"",O49*P49)</f>
        <v/>
      </c>
      <c r="R49" s="18" t="str">
        <f aca="false">IF(Q49="","",IF(Q49&lt;=Lists!$R$2,"Low",IF(Q49&lt;=Lists!$R$3,"Medium",IF(Q49&lt;=Lists!$R$4,"High","Critical"))))</f>
        <v/>
      </c>
      <c r="S49" s="18" t="str">
        <f aca="false">IF(B49="","",IF(K49="","No action required",IF(N49&lt;&gt;"","Complete",IF(M49="","No target date",IF(M49&lt;Dashboard!$C$5,"Overdue",IF(M49-Dashboard!$C$5&lt;=Lists!$R$5,"Due soon","Open"))))))</f>
        <v/>
      </c>
    </row>
    <row r="50" customFormat="false" ht="15" hidden="false" customHeight="false" outlineLevel="0" collapsed="false">
      <c r="A50" s="18" t="str">
        <f aca="false">IF(B50="","","FR-"&amp;TEXT(ROW()-4,"000"))</f>
        <v/>
      </c>
      <c r="B50" s="10"/>
      <c r="C50" s="10"/>
      <c r="D50" s="10"/>
      <c r="E50" s="10"/>
      <c r="F50" s="24"/>
      <c r="G50" s="24"/>
      <c r="H50" s="18" t="str">
        <f aca="false">IF(OR(F50="",G50=""),"",F50*G50)</f>
        <v/>
      </c>
      <c r="I50" s="18" t="str">
        <f aca="false">IF(H50="","",IF(H50&lt;=Lists!$R$2,"Low",IF(H50&lt;=Lists!$R$3,"Medium",IF(H50&lt;=Lists!$R$4,"High","Critical"))))</f>
        <v/>
      </c>
      <c r="J50" s="10"/>
      <c r="K50" s="10"/>
      <c r="L50" s="10"/>
      <c r="M50" s="11"/>
      <c r="N50" s="11"/>
      <c r="O50" s="24"/>
      <c r="P50" s="24"/>
      <c r="Q50" s="18" t="str">
        <f aca="false">IF(OR(O50="",P50=""),"",O50*P50)</f>
        <v/>
      </c>
      <c r="R50" s="18" t="str">
        <f aca="false">IF(Q50="","",IF(Q50&lt;=Lists!$R$2,"Low",IF(Q50&lt;=Lists!$R$3,"Medium",IF(Q50&lt;=Lists!$R$4,"High","Critical"))))</f>
        <v/>
      </c>
      <c r="S50" s="18" t="str">
        <f aca="false">IF(B50="","",IF(K50="","No action required",IF(N50&lt;&gt;"","Complete",IF(M50="","No target date",IF(M50&lt;Dashboard!$C$5,"Overdue",IF(M50-Dashboard!$C$5&lt;=Lists!$R$5,"Due soon","Open"))))))</f>
        <v/>
      </c>
    </row>
    <row r="51" customFormat="false" ht="15" hidden="false" customHeight="false" outlineLevel="0" collapsed="false">
      <c r="A51" s="18" t="str">
        <f aca="false">IF(B51="","","FR-"&amp;TEXT(ROW()-4,"000"))</f>
        <v/>
      </c>
      <c r="B51" s="10"/>
      <c r="C51" s="10"/>
      <c r="D51" s="10"/>
      <c r="E51" s="10"/>
      <c r="F51" s="24"/>
      <c r="G51" s="24"/>
      <c r="H51" s="18" t="str">
        <f aca="false">IF(OR(F51="",G51=""),"",F51*G51)</f>
        <v/>
      </c>
      <c r="I51" s="18" t="str">
        <f aca="false">IF(H51="","",IF(H51&lt;=Lists!$R$2,"Low",IF(H51&lt;=Lists!$R$3,"Medium",IF(H51&lt;=Lists!$R$4,"High","Critical"))))</f>
        <v/>
      </c>
      <c r="J51" s="10"/>
      <c r="K51" s="10"/>
      <c r="L51" s="10"/>
      <c r="M51" s="11"/>
      <c r="N51" s="11"/>
      <c r="O51" s="24"/>
      <c r="P51" s="24"/>
      <c r="Q51" s="18" t="str">
        <f aca="false">IF(OR(O51="",P51=""),"",O51*P51)</f>
        <v/>
      </c>
      <c r="R51" s="18" t="str">
        <f aca="false">IF(Q51="","",IF(Q51&lt;=Lists!$R$2,"Low",IF(Q51&lt;=Lists!$R$3,"Medium",IF(Q51&lt;=Lists!$R$4,"High","Critical"))))</f>
        <v/>
      </c>
      <c r="S51" s="18" t="str">
        <f aca="false">IF(B51="","",IF(K51="","No action required",IF(N51&lt;&gt;"","Complete",IF(M51="","No target date",IF(M51&lt;Dashboard!$C$5,"Overdue",IF(M51-Dashboard!$C$5&lt;=Lists!$R$5,"Due soon","Open"))))))</f>
        <v/>
      </c>
    </row>
    <row r="52" customFormat="false" ht="15" hidden="false" customHeight="false" outlineLevel="0" collapsed="false">
      <c r="A52" s="18" t="str">
        <f aca="false">IF(B52="","","FR-"&amp;TEXT(ROW()-4,"000"))</f>
        <v/>
      </c>
      <c r="B52" s="10"/>
      <c r="C52" s="10"/>
      <c r="D52" s="10"/>
      <c r="E52" s="10"/>
      <c r="F52" s="24"/>
      <c r="G52" s="24"/>
      <c r="H52" s="18" t="str">
        <f aca="false">IF(OR(F52="",G52=""),"",F52*G52)</f>
        <v/>
      </c>
      <c r="I52" s="18" t="str">
        <f aca="false">IF(H52="","",IF(H52&lt;=Lists!$R$2,"Low",IF(H52&lt;=Lists!$R$3,"Medium",IF(H52&lt;=Lists!$R$4,"High","Critical"))))</f>
        <v/>
      </c>
      <c r="J52" s="10"/>
      <c r="K52" s="10"/>
      <c r="L52" s="10"/>
      <c r="M52" s="11"/>
      <c r="N52" s="11"/>
      <c r="O52" s="24"/>
      <c r="P52" s="24"/>
      <c r="Q52" s="18" t="str">
        <f aca="false">IF(OR(O52="",P52=""),"",O52*P52)</f>
        <v/>
      </c>
      <c r="R52" s="18" t="str">
        <f aca="false">IF(Q52="","",IF(Q52&lt;=Lists!$R$2,"Low",IF(Q52&lt;=Lists!$R$3,"Medium",IF(Q52&lt;=Lists!$R$4,"High","Critical"))))</f>
        <v/>
      </c>
      <c r="S52" s="18" t="str">
        <f aca="false">IF(B52="","",IF(K52="","No action required",IF(N52&lt;&gt;"","Complete",IF(M52="","No target date",IF(M52&lt;Dashboard!$C$5,"Overdue",IF(M52-Dashboard!$C$5&lt;=Lists!$R$5,"Due soon","Open"))))))</f>
        <v/>
      </c>
    </row>
    <row r="53" customFormat="false" ht="15" hidden="false" customHeight="false" outlineLevel="0" collapsed="false">
      <c r="A53" s="18" t="str">
        <f aca="false">IF(B53="","","FR-"&amp;TEXT(ROW()-4,"000"))</f>
        <v/>
      </c>
      <c r="B53" s="10"/>
      <c r="C53" s="10"/>
      <c r="D53" s="10"/>
      <c r="E53" s="10"/>
      <c r="F53" s="24"/>
      <c r="G53" s="24"/>
      <c r="H53" s="18" t="str">
        <f aca="false">IF(OR(F53="",G53=""),"",F53*G53)</f>
        <v/>
      </c>
      <c r="I53" s="18" t="str">
        <f aca="false">IF(H53="","",IF(H53&lt;=Lists!$R$2,"Low",IF(H53&lt;=Lists!$R$3,"Medium",IF(H53&lt;=Lists!$R$4,"High","Critical"))))</f>
        <v/>
      </c>
      <c r="J53" s="10"/>
      <c r="K53" s="10"/>
      <c r="L53" s="10"/>
      <c r="M53" s="11"/>
      <c r="N53" s="11"/>
      <c r="O53" s="24"/>
      <c r="P53" s="24"/>
      <c r="Q53" s="18" t="str">
        <f aca="false">IF(OR(O53="",P53=""),"",O53*P53)</f>
        <v/>
      </c>
      <c r="R53" s="18" t="str">
        <f aca="false">IF(Q53="","",IF(Q53&lt;=Lists!$R$2,"Low",IF(Q53&lt;=Lists!$R$3,"Medium",IF(Q53&lt;=Lists!$R$4,"High","Critical"))))</f>
        <v/>
      </c>
      <c r="S53" s="18" t="str">
        <f aca="false">IF(B53="","",IF(K53="","No action required",IF(N53&lt;&gt;"","Complete",IF(M53="","No target date",IF(M53&lt;Dashboard!$C$5,"Overdue",IF(M53-Dashboard!$C$5&lt;=Lists!$R$5,"Due soon","Open"))))))</f>
        <v/>
      </c>
    </row>
    <row r="54" customFormat="false" ht="15" hidden="false" customHeight="false" outlineLevel="0" collapsed="false">
      <c r="A54" s="18" t="str">
        <f aca="false">IF(B54="","","FR-"&amp;TEXT(ROW()-4,"000"))</f>
        <v/>
      </c>
      <c r="B54" s="10"/>
      <c r="C54" s="10"/>
      <c r="D54" s="10"/>
      <c r="E54" s="10"/>
      <c r="F54" s="24"/>
      <c r="G54" s="24"/>
      <c r="H54" s="18" t="str">
        <f aca="false">IF(OR(F54="",G54=""),"",F54*G54)</f>
        <v/>
      </c>
      <c r="I54" s="18" t="str">
        <f aca="false">IF(H54="","",IF(H54&lt;=Lists!$R$2,"Low",IF(H54&lt;=Lists!$R$3,"Medium",IF(H54&lt;=Lists!$R$4,"High","Critical"))))</f>
        <v/>
      </c>
      <c r="J54" s="10"/>
      <c r="K54" s="10"/>
      <c r="L54" s="10"/>
      <c r="M54" s="11"/>
      <c r="N54" s="11"/>
      <c r="O54" s="24"/>
      <c r="P54" s="24"/>
      <c r="Q54" s="18" t="str">
        <f aca="false">IF(OR(O54="",P54=""),"",O54*P54)</f>
        <v/>
      </c>
      <c r="R54" s="18" t="str">
        <f aca="false">IF(Q54="","",IF(Q54&lt;=Lists!$R$2,"Low",IF(Q54&lt;=Lists!$R$3,"Medium",IF(Q54&lt;=Lists!$R$4,"High","Critical"))))</f>
        <v/>
      </c>
      <c r="S54" s="18" t="str">
        <f aca="false">IF(B54="","",IF(K54="","No action required",IF(N54&lt;&gt;"","Complete",IF(M54="","No target date",IF(M54&lt;Dashboard!$C$5,"Overdue",IF(M54-Dashboard!$C$5&lt;=Lists!$R$5,"Due soon","Open"))))))</f>
        <v/>
      </c>
    </row>
    <row r="55" customFormat="false" ht="15" hidden="false" customHeight="false" outlineLevel="0" collapsed="false">
      <c r="A55" s="18" t="str">
        <f aca="false">IF(B55="","","FR-"&amp;TEXT(ROW()-4,"000"))</f>
        <v/>
      </c>
      <c r="B55" s="10"/>
      <c r="C55" s="10"/>
      <c r="D55" s="10"/>
      <c r="E55" s="10"/>
      <c r="F55" s="24"/>
      <c r="G55" s="24"/>
      <c r="H55" s="18" t="str">
        <f aca="false">IF(OR(F55="",G55=""),"",F55*G55)</f>
        <v/>
      </c>
      <c r="I55" s="18" t="str">
        <f aca="false">IF(H55="","",IF(H55&lt;=Lists!$R$2,"Low",IF(H55&lt;=Lists!$R$3,"Medium",IF(H55&lt;=Lists!$R$4,"High","Critical"))))</f>
        <v/>
      </c>
      <c r="J55" s="10"/>
      <c r="K55" s="10"/>
      <c r="L55" s="10"/>
      <c r="M55" s="11"/>
      <c r="N55" s="11"/>
      <c r="O55" s="24"/>
      <c r="P55" s="24"/>
      <c r="Q55" s="18" t="str">
        <f aca="false">IF(OR(O55="",P55=""),"",O55*P55)</f>
        <v/>
      </c>
      <c r="R55" s="18" t="str">
        <f aca="false">IF(Q55="","",IF(Q55&lt;=Lists!$R$2,"Low",IF(Q55&lt;=Lists!$R$3,"Medium",IF(Q55&lt;=Lists!$R$4,"High","Critical"))))</f>
        <v/>
      </c>
      <c r="S55" s="18" t="str">
        <f aca="false">IF(B55="","",IF(K55="","No action required",IF(N55&lt;&gt;"","Complete",IF(M55="","No target date",IF(M55&lt;Dashboard!$C$5,"Overdue",IF(M55-Dashboard!$C$5&lt;=Lists!$R$5,"Due soon","Open"))))))</f>
        <v/>
      </c>
    </row>
    <row r="56" customFormat="false" ht="15" hidden="false" customHeight="false" outlineLevel="0" collapsed="false">
      <c r="A56" s="18" t="str">
        <f aca="false">IF(B56="","","FR-"&amp;TEXT(ROW()-4,"000"))</f>
        <v/>
      </c>
      <c r="B56" s="10"/>
      <c r="C56" s="10"/>
      <c r="D56" s="10"/>
      <c r="E56" s="10"/>
      <c r="F56" s="24"/>
      <c r="G56" s="24"/>
      <c r="H56" s="18" t="str">
        <f aca="false">IF(OR(F56="",G56=""),"",F56*G56)</f>
        <v/>
      </c>
      <c r="I56" s="18" t="str">
        <f aca="false">IF(H56="","",IF(H56&lt;=Lists!$R$2,"Low",IF(H56&lt;=Lists!$R$3,"Medium",IF(H56&lt;=Lists!$R$4,"High","Critical"))))</f>
        <v/>
      </c>
      <c r="J56" s="10"/>
      <c r="K56" s="10"/>
      <c r="L56" s="10"/>
      <c r="M56" s="11"/>
      <c r="N56" s="11"/>
      <c r="O56" s="24"/>
      <c r="P56" s="24"/>
      <c r="Q56" s="18" t="str">
        <f aca="false">IF(OR(O56="",P56=""),"",O56*P56)</f>
        <v/>
      </c>
      <c r="R56" s="18" t="str">
        <f aca="false">IF(Q56="","",IF(Q56&lt;=Lists!$R$2,"Low",IF(Q56&lt;=Lists!$R$3,"Medium",IF(Q56&lt;=Lists!$R$4,"High","Critical"))))</f>
        <v/>
      </c>
      <c r="S56" s="18" t="str">
        <f aca="false">IF(B56="","",IF(K56="","No action required",IF(N56&lt;&gt;"","Complete",IF(M56="","No target date",IF(M56&lt;Dashboard!$C$5,"Overdue",IF(M56-Dashboard!$C$5&lt;=Lists!$R$5,"Due soon","Open"))))))</f>
        <v/>
      </c>
    </row>
    <row r="57" customFormat="false" ht="15" hidden="false" customHeight="false" outlineLevel="0" collapsed="false">
      <c r="A57" s="18" t="str">
        <f aca="false">IF(B57="","","FR-"&amp;TEXT(ROW()-4,"000"))</f>
        <v/>
      </c>
      <c r="B57" s="10"/>
      <c r="C57" s="10"/>
      <c r="D57" s="10"/>
      <c r="E57" s="10"/>
      <c r="F57" s="24"/>
      <c r="G57" s="24"/>
      <c r="H57" s="18" t="str">
        <f aca="false">IF(OR(F57="",G57=""),"",F57*G57)</f>
        <v/>
      </c>
      <c r="I57" s="18" t="str">
        <f aca="false">IF(H57="","",IF(H57&lt;=Lists!$R$2,"Low",IF(H57&lt;=Lists!$R$3,"Medium",IF(H57&lt;=Lists!$R$4,"High","Critical"))))</f>
        <v/>
      </c>
      <c r="J57" s="10"/>
      <c r="K57" s="10"/>
      <c r="L57" s="10"/>
      <c r="M57" s="11"/>
      <c r="N57" s="11"/>
      <c r="O57" s="24"/>
      <c r="P57" s="24"/>
      <c r="Q57" s="18" t="str">
        <f aca="false">IF(OR(O57="",P57=""),"",O57*P57)</f>
        <v/>
      </c>
      <c r="R57" s="18" t="str">
        <f aca="false">IF(Q57="","",IF(Q57&lt;=Lists!$R$2,"Low",IF(Q57&lt;=Lists!$R$3,"Medium",IF(Q57&lt;=Lists!$R$4,"High","Critical"))))</f>
        <v/>
      </c>
      <c r="S57" s="18" t="str">
        <f aca="false">IF(B57="","",IF(K57="","No action required",IF(N57&lt;&gt;"","Complete",IF(M57="","No target date",IF(M57&lt;Dashboard!$C$5,"Overdue",IF(M57-Dashboard!$C$5&lt;=Lists!$R$5,"Due soon","Open"))))))</f>
        <v/>
      </c>
    </row>
    <row r="58" customFormat="false" ht="15" hidden="false" customHeight="false" outlineLevel="0" collapsed="false">
      <c r="A58" s="18" t="str">
        <f aca="false">IF(B58="","","FR-"&amp;TEXT(ROW()-4,"000"))</f>
        <v/>
      </c>
      <c r="B58" s="10"/>
      <c r="C58" s="10"/>
      <c r="D58" s="10"/>
      <c r="E58" s="10"/>
      <c r="F58" s="24"/>
      <c r="G58" s="24"/>
      <c r="H58" s="18" t="str">
        <f aca="false">IF(OR(F58="",G58=""),"",F58*G58)</f>
        <v/>
      </c>
      <c r="I58" s="18" t="str">
        <f aca="false">IF(H58="","",IF(H58&lt;=Lists!$R$2,"Low",IF(H58&lt;=Lists!$R$3,"Medium",IF(H58&lt;=Lists!$R$4,"High","Critical"))))</f>
        <v/>
      </c>
      <c r="J58" s="10"/>
      <c r="K58" s="10"/>
      <c r="L58" s="10"/>
      <c r="M58" s="11"/>
      <c r="N58" s="11"/>
      <c r="O58" s="24"/>
      <c r="P58" s="24"/>
      <c r="Q58" s="18" t="str">
        <f aca="false">IF(OR(O58="",P58=""),"",O58*P58)</f>
        <v/>
      </c>
      <c r="R58" s="18" t="str">
        <f aca="false">IF(Q58="","",IF(Q58&lt;=Lists!$R$2,"Low",IF(Q58&lt;=Lists!$R$3,"Medium",IF(Q58&lt;=Lists!$R$4,"High","Critical"))))</f>
        <v/>
      </c>
      <c r="S58" s="18" t="str">
        <f aca="false">IF(B58="","",IF(K58="","No action required",IF(N58&lt;&gt;"","Complete",IF(M58="","No target date",IF(M58&lt;Dashboard!$C$5,"Overdue",IF(M58-Dashboard!$C$5&lt;=Lists!$R$5,"Due soon","Open"))))))</f>
        <v/>
      </c>
    </row>
    <row r="59" customFormat="false" ht="15" hidden="false" customHeight="false" outlineLevel="0" collapsed="false">
      <c r="A59" s="18" t="str">
        <f aca="false">IF(B59="","","FR-"&amp;TEXT(ROW()-4,"000"))</f>
        <v/>
      </c>
      <c r="B59" s="10"/>
      <c r="C59" s="10"/>
      <c r="D59" s="10"/>
      <c r="E59" s="10"/>
      <c r="F59" s="24"/>
      <c r="G59" s="24"/>
      <c r="H59" s="18" t="str">
        <f aca="false">IF(OR(F59="",G59=""),"",F59*G59)</f>
        <v/>
      </c>
      <c r="I59" s="18" t="str">
        <f aca="false">IF(H59="","",IF(H59&lt;=Lists!$R$2,"Low",IF(H59&lt;=Lists!$R$3,"Medium",IF(H59&lt;=Lists!$R$4,"High","Critical"))))</f>
        <v/>
      </c>
      <c r="J59" s="10"/>
      <c r="K59" s="10"/>
      <c r="L59" s="10"/>
      <c r="M59" s="11"/>
      <c r="N59" s="11"/>
      <c r="O59" s="24"/>
      <c r="P59" s="24"/>
      <c r="Q59" s="18" t="str">
        <f aca="false">IF(OR(O59="",P59=""),"",O59*P59)</f>
        <v/>
      </c>
      <c r="R59" s="18" t="str">
        <f aca="false">IF(Q59="","",IF(Q59&lt;=Lists!$R$2,"Low",IF(Q59&lt;=Lists!$R$3,"Medium",IF(Q59&lt;=Lists!$R$4,"High","Critical"))))</f>
        <v/>
      </c>
      <c r="S59" s="18" t="str">
        <f aca="false">IF(B59="","",IF(K59="","No action required",IF(N59&lt;&gt;"","Complete",IF(M59="","No target date",IF(M59&lt;Dashboard!$C$5,"Overdue",IF(M59-Dashboard!$C$5&lt;=Lists!$R$5,"Due soon","Open"))))))</f>
        <v/>
      </c>
    </row>
    <row r="60" customFormat="false" ht="15" hidden="false" customHeight="false" outlineLevel="0" collapsed="false">
      <c r="A60" s="18" t="str">
        <f aca="false">IF(B60="","","FR-"&amp;TEXT(ROW()-4,"000"))</f>
        <v/>
      </c>
      <c r="B60" s="10"/>
      <c r="C60" s="10"/>
      <c r="D60" s="10"/>
      <c r="E60" s="10"/>
      <c r="F60" s="24"/>
      <c r="G60" s="24"/>
      <c r="H60" s="18" t="str">
        <f aca="false">IF(OR(F60="",G60=""),"",F60*G60)</f>
        <v/>
      </c>
      <c r="I60" s="18" t="str">
        <f aca="false">IF(H60="","",IF(H60&lt;=Lists!$R$2,"Low",IF(H60&lt;=Lists!$R$3,"Medium",IF(H60&lt;=Lists!$R$4,"High","Critical"))))</f>
        <v/>
      </c>
      <c r="J60" s="10"/>
      <c r="K60" s="10"/>
      <c r="L60" s="10"/>
      <c r="M60" s="11"/>
      <c r="N60" s="11"/>
      <c r="O60" s="24"/>
      <c r="P60" s="24"/>
      <c r="Q60" s="18" t="str">
        <f aca="false">IF(OR(O60="",P60=""),"",O60*P60)</f>
        <v/>
      </c>
      <c r="R60" s="18" t="str">
        <f aca="false">IF(Q60="","",IF(Q60&lt;=Lists!$R$2,"Low",IF(Q60&lt;=Lists!$R$3,"Medium",IF(Q60&lt;=Lists!$R$4,"High","Critical"))))</f>
        <v/>
      </c>
      <c r="S60" s="18" t="str">
        <f aca="false">IF(B60="","",IF(K60="","No action required",IF(N60&lt;&gt;"","Complete",IF(M60="","No target date",IF(M60&lt;Dashboard!$C$5,"Overdue",IF(M60-Dashboard!$C$5&lt;=Lists!$R$5,"Due soon","Open"))))))</f>
        <v/>
      </c>
    </row>
    <row r="61" customFormat="false" ht="15" hidden="false" customHeight="false" outlineLevel="0" collapsed="false">
      <c r="A61" s="18" t="str">
        <f aca="false">IF(B61="","","FR-"&amp;TEXT(ROW()-4,"000"))</f>
        <v/>
      </c>
      <c r="B61" s="10"/>
      <c r="C61" s="10"/>
      <c r="D61" s="10"/>
      <c r="E61" s="10"/>
      <c r="F61" s="24"/>
      <c r="G61" s="24"/>
      <c r="H61" s="18" t="str">
        <f aca="false">IF(OR(F61="",G61=""),"",F61*G61)</f>
        <v/>
      </c>
      <c r="I61" s="18" t="str">
        <f aca="false">IF(H61="","",IF(H61&lt;=Lists!$R$2,"Low",IF(H61&lt;=Lists!$R$3,"Medium",IF(H61&lt;=Lists!$R$4,"High","Critical"))))</f>
        <v/>
      </c>
      <c r="J61" s="10"/>
      <c r="K61" s="10"/>
      <c r="L61" s="10"/>
      <c r="M61" s="11"/>
      <c r="N61" s="11"/>
      <c r="O61" s="24"/>
      <c r="P61" s="24"/>
      <c r="Q61" s="18" t="str">
        <f aca="false">IF(OR(O61="",P61=""),"",O61*P61)</f>
        <v/>
      </c>
      <c r="R61" s="18" t="str">
        <f aca="false">IF(Q61="","",IF(Q61&lt;=Lists!$R$2,"Low",IF(Q61&lt;=Lists!$R$3,"Medium",IF(Q61&lt;=Lists!$R$4,"High","Critical"))))</f>
        <v/>
      </c>
      <c r="S61" s="18" t="str">
        <f aca="false">IF(B61="","",IF(K61="","No action required",IF(N61&lt;&gt;"","Complete",IF(M61="","No target date",IF(M61&lt;Dashboard!$C$5,"Overdue",IF(M61-Dashboard!$C$5&lt;=Lists!$R$5,"Due soon","Open"))))))</f>
        <v/>
      </c>
    </row>
    <row r="62" customFormat="false" ht="15" hidden="false" customHeight="false" outlineLevel="0" collapsed="false">
      <c r="A62" s="18" t="str">
        <f aca="false">IF(B62="","","FR-"&amp;TEXT(ROW()-4,"000"))</f>
        <v/>
      </c>
      <c r="B62" s="10"/>
      <c r="C62" s="10"/>
      <c r="D62" s="10"/>
      <c r="E62" s="10"/>
      <c r="F62" s="24"/>
      <c r="G62" s="24"/>
      <c r="H62" s="18" t="str">
        <f aca="false">IF(OR(F62="",G62=""),"",F62*G62)</f>
        <v/>
      </c>
      <c r="I62" s="18" t="str">
        <f aca="false">IF(H62="","",IF(H62&lt;=Lists!$R$2,"Low",IF(H62&lt;=Lists!$R$3,"Medium",IF(H62&lt;=Lists!$R$4,"High","Critical"))))</f>
        <v/>
      </c>
      <c r="J62" s="10"/>
      <c r="K62" s="10"/>
      <c r="L62" s="10"/>
      <c r="M62" s="11"/>
      <c r="N62" s="11"/>
      <c r="O62" s="24"/>
      <c r="P62" s="24"/>
      <c r="Q62" s="18" t="str">
        <f aca="false">IF(OR(O62="",P62=""),"",O62*P62)</f>
        <v/>
      </c>
      <c r="R62" s="18" t="str">
        <f aca="false">IF(Q62="","",IF(Q62&lt;=Lists!$R$2,"Low",IF(Q62&lt;=Lists!$R$3,"Medium",IF(Q62&lt;=Lists!$R$4,"High","Critical"))))</f>
        <v/>
      </c>
      <c r="S62" s="18" t="str">
        <f aca="false">IF(B62="","",IF(K62="","No action required",IF(N62&lt;&gt;"","Complete",IF(M62="","No target date",IF(M62&lt;Dashboard!$C$5,"Overdue",IF(M62-Dashboard!$C$5&lt;=Lists!$R$5,"Due soon","Open"))))))</f>
        <v/>
      </c>
    </row>
    <row r="63" customFormat="false" ht="15" hidden="false" customHeight="false" outlineLevel="0" collapsed="false">
      <c r="A63" s="18" t="str">
        <f aca="false">IF(B63="","","FR-"&amp;TEXT(ROW()-4,"000"))</f>
        <v/>
      </c>
      <c r="B63" s="10"/>
      <c r="C63" s="10"/>
      <c r="D63" s="10"/>
      <c r="E63" s="10"/>
      <c r="F63" s="24"/>
      <c r="G63" s="24"/>
      <c r="H63" s="18" t="str">
        <f aca="false">IF(OR(F63="",G63=""),"",F63*G63)</f>
        <v/>
      </c>
      <c r="I63" s="18" t="str">
        <f aca="false">IF(H63="","",IF(H63&lt;=Lists!$R$2,"Low",IF(H63&lt;=Lists!$R$3,"Medium",IF(H63&lt;=Lists!$R$4,"High","Critical"))))</f>
        <v/>
      </c>
      <c r="J63" s="10"/>
      <c r="K63" s="10"/>
      <c r="L63" s="10"/>
      <c r="M63" s="11"/>
      <c r="N63" s="11"/>
      <c r="O63" s="24"/>
      <c r="P63" s="24"/>
      <c r="Q63" s="18" t="str">
        <f aca="false">IF(OR(O63="",P63=""),"",O63*P63)</f>
        <v/>
      </c>
      <c r="R63" s="18" t="str">
        <f aca="false">IF(Q63="","",IF(Q63&lt;=Lists!$R$2,"Low",IF(Q63&lt;=Lists!$R$3,"Medium",IF(Q63&lt;=Lists!$R$4,"High","Critical"))))</f>
        <v/>
      </c>
      <c r="S63" s="18" t="str">
        <f aca="false">IF(B63="","",IF(K63="","No action required",IF(N63&lt;&gt;"","Complete",IF(M63="","No target date",IF(M63&lt;Dashboard!$C$5,"Overdue",IF(M63-Dashboard!$C$5&lt;=Lists!$R$5,"Due soon","Open"))))))</f>
        <v/>
      </c>
    </row>
    <row r="64" customFormat="false" ht="15" hidden="false" customHeight="false" outlineLevel="0" collapsed="false">
      <c r="A64" s="18" t="str">
        <f aca="false">IF(B64="","","FR-"&amp;TEXT(ROW()-4,"000"))</f>
        <v/>
      </c>
      <c r="B64" s="10"/>
      <c r="C64" s="10"/>
      <c r="D64" s="10"/>
      <c r="E64" s="10"/>
      <c r="F64" s="24"/>
      <c r="G64" s="24"/>
      <c r="H64" s="18" t="str">
        <f aca="false">IF(OR(F64="",G64=""),"",F64*G64)</f>
        <v/>
      </c>
      <c r="I64" s="18" t="str">
        <f aca="false">IF(H64="","",IF(H64&lt;=Lists!$R$2,"Low",IF(H64&lt;=Lists!$R$3,"Medium",IF(H64&lt;=Lists!$R$4,"High","Critical"))))</f>
        <v/>
      </c>
      <c r="J64" s="10"/>
      <c r="K64" s="10"/>
      <c r="L64" s="10"/>
      <c r="M64" s="11"/>
      <c r="N64" s="11"/>
      <c r="O64" s="24"/>
      <c r="P64" s="24"/>
      <c r="Q64" s="18" t="str">
        <f aca="false">IF(OR(O64="",P64=""),"",O64*P64)</f>
        <v/>
      </c>
      <c r="R64" s="18" t="str">
        <f aca="false">IF(Q64="","",IF(Q64&lt;=Lists!$R$2,"Low",IF(Q64&lt;=Lists!$R$3,"Medium",IF(Q64&lt;=Lists!$R$4,"High","Critical"))))</f>
        <v/>
      </c>
      <c r="S64" s="18" t="str">
        <f aca="false">IF(B64="","",IF(K64="","No action required",IF(N64&lt;&gt;"","Complete",IF(M64="","No target date",IF(M64&lt;Dashboard!$C$5,"Overdue",IF(M64-Dashboard!$C$5&lt;=Lists!$R$5,"Due soon","Open"))))))</f>
        <v/>
      </c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customFormat="false" ht="15" hidden="false" customHeight="false" outlineLevel="0" collapsed="false">
      <c r="A66" s="2"/>
      <c r="B66" s="25" t="s">
        <v>161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customFormat="false" ht="26.85" hidden="false" customHeight="false" outlineLevel="0" collapsed="false">
      <c r="A67" s="2"/>
      <c r="B67" s="12" t="s">
        <v>162</v>
      </c>
      <c r="C67" s="12" t="s">
        <v>163</v>
      </c>
      <c r="D67" s="12" t="s">
        <v>164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customFormat="false" ht="39.55" hidden="false" customHeight="false" outlineLevel="0" collapsed="false">
      <c r="A68" s="2"/>
      <c r="B68" s="6" t="n">
        <v>1</v>
      </c>
      <c r="C68" s="6" t="s">
        <v>165</v>
      </c>
      <c r="D68" s="6" t="s">
        <v>166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customFormat="false" ht="26.85" hidden="false" customHeight="false" outlineLevel="0" collapsed="false">
      <c r="A69" s="2"/>
      <c r="B69" s="6" t="n">
        <v>2</v>
      </c>
      <c r="C69" s="6" t="s">
        <v>167</v>
      </c>
      <c r="D69" s="6" t="s">
        <v>168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customFormat="false" ht="52.2" hidden="false" customHeight="false" outlineLevel="0" collapsed="false">
      <c r="A70" s="2"/>
      <c r="B70" s="6" t="n">
        <v>3</v>
      </c>
      <c r="C70" s="6" t="s">
        <v>169</v>
      </c>
      <c r="D70" s="6" t="s">
        <v>170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customFormat="false" ht="52.2" hidden="false" customHeight="false" outlineLevel="0" collapsed="false">
      <c r="A71" s="2"/>
      <c r="B71" s="6" t="n">
        <v>4</v>
      </c>
      <c r="C71" s="6" t="s">
        <v>171</v>
      </c>
      <c r="D71" s="6" t="s">
        <v>172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customFormat="false" ht="39.55" hidden="false" customHeight="false" outlineLevel="0" collapsed="false">
      <c r="A72" s="2"/>
      <c r="B72" s="6" t="n">
        <v>5</v>
      </c>
      <c r="C72" s="6" t="s">
        <v>173</v>
      </c>
      <c r="D72" s="6" t="s">
        <v>174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customFormat="false" ht="15" hidden="false" customHeight="false" outlineLevel="0" collapsed="false">
      <c r="A73" s="2"/>
      <c r="B73" s="23" t="s">
        <v>175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</sheetData>
  <conditionalFormatting sqref="I5:I64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"Critical"</formula>
    </cfRule>
  </conditionalFormatting>
  <conditionalFormatting sqref="R5:R64">
    <cfRule type="cellIs" priority="6" operator="equal" aboveAverage="0" equalAverage="0" bottom="0" percent="0" rank="0" text="" dxfId="0">
      <formula>"Low"</formula>
    </cfRule>
    <cfRule type="cellIs" priority="7" operator="equal" aboveAverage="0" equalAverage="0" bottom="0" percent="0" rank="0" text="" dxfId="1">
      <formula>"Medium"</formula>
    </cfRule>
    <cfRule type="cellIs" priority="8" operator="equal" aboveAverage="0" equalAverage="0" bottom="0" percent="0" rank="0" text="" dxfId="2">
      <formula>"High"</formula>
    </cfRule>
    <cfRule type="cellIs" priority="9" operator="equal" aboveAverage="0" equalAverage="0" bottom="0" percent="0" rank="0" text="" dxfId="3">
      <formula>"Critical"</formula>
    </cfRule>
  </conditionalFormatting>
  <conditionalFormatting sqref="S5:S64">
    <cfRule type="cellIs" priority="10" operator="equal" aboveAverage="0" equalAverage="0" bottom="0" percent="0" rank="0" text="" dxfId="0">
      <formula>"Complete"</formula>
    </cfRule>
    <cfRule type="cellIs" priority="11" operator="equal" aboveAverage="0" equalAverage="0" bottom="0" percent="0" rank="0" text="" dxfId="0">
      <formula>"No action required"</formula>
    </cfRule>
    <cfRule type="cellIs" priority="12" operator="equal" aboveAverage="0" equalAverage="0" bottom="0" percent="0" rank="0" text="" dxfId="1">
      <formula>"Open"</formula>
    </cfRule>
    <cfRule type="cellIs" priority="13" operator="equal" aboveAverage="0" equalAverage="0" bottom="0" percent="0" rank="0" text="" dxfId="1">
      <formula>"Due soon"</formula>
    </cfRule>
    <cfRule type="cellIs" priority="14" operator="equal" aboveAverage="0" equalAverage="0" bottom="0" percent="0" rank="0" text="" dxfId="1">
      <formula>"No target date"</formula>
    </cfRule>
    <cfRule type="cellIs" priority="15" operator="equal" aboveAverage="0" equalAverage="0" bottom="0" percent="0" rank="0" text="" dxfId="2">
      <formula>"Overdue"</formula>
    </cfRule>
  </conditionalFormatting>
  <dataValidations count="3">
    <dataValidation allowBlank="true" error="Please choose a value from the list." errorStyle="stop" errorTitle="Invalid entry" operator="between" showDropDown="false" showErrorMessage="false" showInputMessage="false" sqref="C5:C64" type="list">
      <formula1>Lists!$D$2:$D$12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64" type="list">
      <formula1>Lists!$E$2:$E$11</formula1>
      <formula2>0</formula2>
    </dataValidation>
    <dataValidation allowBlank="true" error="Enter a whole number from 1 to 5." errorStyle="stop" operator="between" showDropDown="false" showErrorMessage="false" showInputMessage="false" sqref="F5:G64 O5:P6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176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177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9.55" hidden="false" customHeight="true" outlineLevel="0" collapsed="false">
      <c r="A4" s="9" t="s">
        <v>178</v>
      </c>
      <c r="B4" s="10" t="s">
        <v>179</v>
      </c>
      <c r="C4" s="10"/>
      <c r="D4" s="2"/>
      <c r="E4" s="2"/>
      <c r="F4" s="2"/>
      <c r="G4" s="2"/>
      <c r="H4" s="2"/>
    </row>
    <row r="5" customFormat="false" ht="39.55" hidden="false" customHeight="false" outlineLevel="0" collapsed="false">
      <c r="A5" s="9" t="s">
        <v>180</v>
      </c>
      <c r="B5" s="11" t="n">
        <v>46302</v>
      </c>
      <c r="C5" s="11"/>
      <c r="D5" s="2"/>
      <c r="E5" s="2"/>
      <c r="F5" s="2"/>
      <c r="G5" s="2"/>
      <c r="H5" s="2"/>
    </row>
    <row r="6" customFormat="false" ht="39.55" hidden="false" customHeight="true" outlineLevel="0" collapsed="false">
      <c r="A6" s="9" t="s">
        <v>181</v>
      </c>
      <c r="B6" s="10" t="s">
        <v>182</v>
      </c>
      <c r="C6" s="10"/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31.5" hidden="false" customHeight="true" outlineLevel="0" collapsed="false">
      <c r="A8" s="12" t="s">
        <v>46</v>
      </c>
      <c r="B8" s="12" t="s">
        <v>183</v>
      </c>
      <c r="C8" s="12" t="s">
        <v>184</v>
      </c>
      <c r="D8" s="12" t="s">
        <v>52</v>
      </c>
      <c r="E8" s="12" t="s">
        <v>185</v>
      </c>
      <c r="F8" s="12" t="s">
        <v>186</v>
      </c>
      <c r="G8" s="12" t="s">
        <v>187</v>
      </c>
      <c r="H8" s="12" t="s">
        <v>188</v>
      </c>
    </row>
    <row r="9" customFormat="false" ht="26.85" hidden="false" customHeight="false" outlineLevel="0" collapsed="false">
      <c r="A9" s="13" t="n">
        <v>1</v>
      </c>
      <c r="B9" s="14" t="s">
        <v>189</v>
      </c>
      <c r="C9" s="6" t="s">
        <v>190</v>
      </c>
      <c r="D9" s="24" t="s">
        <v>191</v>
      </c>
      <c r="E9" s="24"/>
      <c r="F9" s="18" t="str">
        <f aca="false">IF(D9="Non-compliant",IF(E9="Yes","ESCALATE NOW","Corrective action"),"—")</f>
        <v>—</v>
      </c>
      <c r="G9" s="10"/>
      <c r="H9" s="10"/>
    </row>
    <row r="10" customFormat="false" ht="26.85" hidden="false" customHeight="false" outlineLevel="0" collapsed="false">
      <c r="A10" s="13" t="n">
        <v>2</v>
      </c>
      <c r="B10" s="14" t="s">
        <v>192</v>
      </c>
      <c r="C10" s="6" t="s">
        <v>193</v>
      </c>
      <c r="D10" s="24" t="s">
        <v>194</v>
      </c>
      <c r="E10" s="24" t="s">
        <v>195</v>
      </c>
      <c r="F10" s="18" t="str">
        <f aca="false">IF(D10="Non-compliant",IF(E10="Yes","ESCALATE NOW","Corrective action"),"—")</f>
        <v>Corrective action</v>
      </c>
      <c r="G10" s="10" t="s">
        <v>196</v>
      </c>
      <c r="H10" s="10" t="s">
        <v>197</v>
      </c>
    </row>
    <row r="11" customFormat="false" ht="26.85" hidden="false" customHeight="false" outlineLevel="0" collapsed="false">
      <c r="A11" s="13" t="n">
        <v>3</v>
      </c>
      <c r="B11" s="14" t="s">
        <v>198</v>
      </c>
      <c r="C11" s="6" t="s">
        <v>199</v>
      </c>
      <c r="D11" s="24" t="s">
        <v>191</v>
      </c>
      <c r="E11" s="24"/>
      <c r="F11" s="18" t="str">
        <f aca="false">IF(D11="Non-compliant",IF(E11="Yes","ESCALATE NOW","Corrective action"),"—")</f>
        <v>—</v>
      </c>
      <c r="G11" s="10"/>
      <c r="H11" s="10"/>
    </row>
    <row r="12" customFormat="false" ht="26.85" hidden="false" customHeight="false" outlineLevel="0" collapsed="false">
      <c r="A12" s="13" t="n">
        <v>4</v>
      </c>
      <c r="B12" s="14" t="s">
        <v>200</v>
      </c>
      <c r="C12" s="6" t="s">
        <v>201</v>
      </c>
      <c r="D12" s="24" t="s">
        <v>202</v>
      </c>
      <c r="E12" s="24"/>
      <c r="F12" s="18" t="str">
        <f aca="false">IF(D12="Non-compliant",IF(E12="Yes","ESCALATE NOW","Corrective action"),"—")</f>
        <v>—</v>
      </c>
      <c r="G12" s="10"/>
      <c r="H12" s="10"/>
    </row>
    <row r="13" customFormat="false" ht="26.85" hidden="false" customHeight="false" outlineLevel="0" collapsed="false">
      <c r="A13" s="13" t="n">
        <v>5</v>
      </c>
      <c r="B13" s="14" t="s">
        <v>203</v>
      </c>
      <c r="C13" s="6" t="s">
        <v>204</v>
      </c>
      <c r="D13" s="24" t="s">
        <v>191</v>
      </c>
      <c r="E13" s="24"/>
      <c r="F13" s="18" t="str">
        <f aca="false">IF(D13="Non-compliant",IF(E13="Yes","ESCALATE NOW","Corrective action"),"—")</f>
        <v>—</v>
      </c>
      <c r="G13" s="10"/>
      <c r="H13" s="10"/>
    </row>
    <row r="14" customFormat="false" ht="15" hidden="false" customHeight="false" outlineLevel="0" collapsed="false">
      <c r="A14" s="13" t="n">
        <v>6</v>
      </c>
      <c r="B14" s="14" t="s">
        <v>205</v>
      </c>
      <c r="C14" s="6" t="s">
        <v>206</v>
      </c>
      <c r="D14" s="24" t="s">
        <v>191</v>
      </c>
      <c r="E14" s="24"/>
      <c r="F14" s="18" t="str">
        <f aca="false">IF(D14="Non-compliant",IF(E14="Yes","ESCALATE NOW","Corrective action"),"—")</f>
        <v>—</v>
      </c>
      <c r="G14" s="10"/>
      <c r="H14" s="10"/>
    </row>
    <row r="15" customFormat="false" ht="26.85" hidden="false" customHeight="false" outlineLevel="0" collapsed="false">
      <c r="A15" s="13" t="n">
        <v>7</v>
      </c>
      <c r="B15" s="14" t="s">
        <v>207</v>
      </c>
      <c r="C15" s="6" t="s">
        <v>208</v>
      </c>
      <c r="D15" s="24" t="s">
        <v>194</v>
      </c>
      <c r="E15" s="24" t="s">
        <v>209</v>
      </c>
      <c r="F15" s="18" t="str">
        <f aca="false">IF(D15="Non-compliant",IF(E15="Yes","ESCALATE NOW","Corrective action"),"—")</f>
        <v>ESCALATE NOW</v>
      </c>
      <c r="G15" s="10" t="s">
        <v>210</v>
      </c>
      <c r="H15" s="10" t="s">
        <v>211</v>
      </c>
    </row>
    <row r="16" customFormat="false" ht="26.85" hidden="false" customHeight="false" outlineLevel="0" collapsed="false">
      <c r="A16" s="13" t="n">
        <v>8</v>
      </c>
      <c r="B16" s="14" t="s">
        <v>212</v>
      </c>
      <c r="C16" s="6" t="s">
        <v>213</v>
      </c>
      <c r="D16" s="24" t="s">
        <v>191</v>
      </c>
      <c r="E16" s="24"/>
      <c r="F16" s="18" t="str">
        <f aca="false">IF(D16="Non-compliant",IF(E16="Yes","ESCALATE NOW","Corrective action"),"—")</f>
        <v>—</v>
      </c>
      <c r="G16" s="10"/>
      <c r="H16" s="10"/>
    </row>
    <row r="17" customFormat="false" ht="15" hidden="false" customHeight="false" outlineLevel="0" collapsed="false">
      <c r="A17" s="13" t="n">
        <v>9</v>
      </c>
      <c r="B17" s="14" t="s">
        <v>214</v>
      </c>
      <c r="C17" s="6" t="s">
        <v>215</v>
      </c>
      <c r="D17" s="24" t="s">
        <v>191</v>
      </c>
      <c r="E17" s="24"/>
      <c r="F17" s="18" t="str">
        <f aca="false">IF(D17="Non-compliant",IF(E17="Yes","ESCALATE NOW","Corrective action"),"—")</f>
        <v>—</v>
      </c>
      <c r="G17" s="10"/>
      <c r="H17" s="10"/>
    </row>
    <row r="18" customFormat="false" ht="26.85" hidden="false" customHeight="false" outlineLevel="0" collapsed="false">
      <c r="A18" s="13" t="n">
        <v>10</v>
      </c>
      <c r="B18" s="14" t="s">
        <v>216</v>
      </c>
      <c r="C18" s="6" t="s">
        <v>217</v>
      </c>
      <c r="D18" s="24" t="s">
        <v>191</v>
      </c>
      <c r="E18" s="24"/>
      <c r="F18" s="18" t="str">
        <f aca="false">IF(D18="Non-compliant",IF(E18="Yes","ESCALATE NOW","Corrective action"),"—")</f>
        <v>—</v>
      </c>
      <c r="G18" s="10"/>
      <c r="H18" s="10"/>
    </row>
    <row r="19" customFormat="false" ht="15" hidden="false" customHeight="false" outlineLevel="0" collapsed="false">
      <c r="A19" s="13" t="n">
        <v>11</v>
      </c>
      <c r="B19" s="14" t="s">
        <v>218</v>
      </c>
      <c r="C19" s="6" t="s">
        <v>219</v>
      </c>
      <c r="D19" s="24" t="s">
        <v>191</v>
      </c>
      <c r="E19" s="24"/>
      <c r="F19" s="18" t="str">
        <f aca="false">IF(D19="Non-compliant",IF(E19="Yes","ESCALATE NOW","Corrective action"),"—")</f>
        <v>—</v>
      </c>
      <c r="G19" s="10"/>
      <c r="H19" s="10"/>
    </row>
    <row r="20" customFormat="false" ht="15" hidden="false" customHeight="false" outlineLevel="0" collapsed="false">
      <c r="A20" s="13" t="n">
        <v>12</v>
      </c>
      <c r="B20" s="14" t="s">
        <v>220</v>
      </c>
      <c r="C20" s="6" t="s">
        <v>221</v>
      </c>
      <c r="D20" s="24" t="s">
        <v>191</v>
      </c>
      <c r="E20" s="24"/>
      <c r="F20" s="18" t="str">
        <f aca="false">IF(D20="Non-compliant",IF(E20="Yes","ESCALATE NOW","Corrective action"),"—")</f>
        <v>—</v>
      </c>
      <c r="G20" s="10"/>
      <c r="H20" s="10"/>
    </row>
    <row r="21" customFormat="false" ht="15" hidden="false" customHeight="false" outlineLevel="0" collapsed="false">
      <c r="A21" s="13" t="n">
        <v>13</v>
      </c>
      <c r="B21" s="14" t="s">
        <v>222</v>
      </c>
      <c r="C21" s="6" t="s">
        <v>223</v>
      </c>
      <c r="D21" s="24" t="s">
        <v>191</v>
      </c>
      <c r="E21" s="24"/>
      <c r="F21" s="18" t="str">
        <f aca="false">IF(D21="Non-compliant",IF(E21="Yes","ESCALATE NOW","Corrective action"),"—")</f>
        <v>—</v>
      </c>
      <c r="G21" s="10"/>
      <c r="H21" s="10"/>
    </row>
    <row r="22" customFormat="false" ht="15" hidden="false" customHeight="false" outlineLevel="0" collapsed="false">
      <c r="A22" s="13" t="n">
        <v>14</v>
      </c>
      <c r="B22" s="14" t="s">
        <v>224</v>
      </c>
      <c r="C22" s="6" t="s">
        <v>225</v>
      </c>
      <c r="D22" s="24" t="s">
        <v>191</v>
      </c>
      <c r="E22" s="24"/>
      <c r="F22" s="18" t="str">
        <f aca="false">IF(D22="Non-compliant",IF(E22="Yes","ESCALATE NOW","Corrective action"),"—")</f>
        <v>—</v>
      </c>
      <c r="G22" s="10"/>
      <c r="H22" s="10"/>
    </row>
    <row r="23" customFormat="false" ht="26.85" hidden="false" customHeight="false" outlineLevel="0" collapsed="false">
      <c r="A23" s="13" t="n">
        <v>15</v>
      </c>
      <c r="B23" s="14" t="s">
        <v>226</v>
      </c>
      <c r="C23" s="6" t="s">
        <v>227</v>
      </c>
      <c r="D23" s="24" t="s">
        <v>191</v>
      </c>
      <c r="E23" s="24"/>
      <c r="F23" s="18" t="str">
        <f aca="false">IF(D23="Non-compliant",IF(E23="Yes","ESCALATE NOW","Corrective action"),"—")</f>
        <v>—</v>
      </c>
      <c r="G23" s="10"/>
      <c r="H23" s="10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true" outlineLevel="0" collapsed="false">
      <c r="A25" s="2"/>
      <c r="B25" s="9" t="s">
        <v>191</v>
      </c>
      <c r="C25" s="9"/>
      <c r="D25" s="21" t="n">
        <f aca="false">COUNTIF(D9:D23,"Compliant")</f>
        <v>12</v>
      </c>
      <c r="E25" s="2"/>
      <c r="F25" s="2"/>
      <c r="G25" s="2"/>
      <c r="H25" s="2"/>
    </row>
    <row r="26" customFormat="false" ht="15" hidden="false" customHeight="true" outlineLevel="0" collapsed="false">
      <c r="A26" s="2"/>
      <c r="B26" s="9" t="s">
        <v>194</v>
      </c>
      <c r="C26" s="9"/>
      <c r="D26" s="21" t="n">
        <f aca="false">COUNTIF(D9:D23,"Non-compliant")</f>
        <v>2</v>
      </c>
      <c r="E26" s="2"/>
      <c r="F26" s="2"/>
      <c r="G26" s="2"/>
      <c r="H26" s="2"/>
    </row>
    <row r="27" customFormat="false" ht="15" hidden="false" customHeight="true" outlineLevel="0" collapsed="false">
      <c r="A27" s="2"/>
      <c r="B27" s="9" t="s">
        <v>228</v>
      </c>
      <c r="C27" s="9"/>
      <c r="D27" s="21" t="n">
        <f aca="false">COUNTIF(D9:D23,"N/A")</f>
        <v>1</v>
      </c>
      <c r="E27" s="2"/>
      <c r="F27" s="2"/>
      <c r="G27" s="2"/>
      <c r="H27" s="2"/>
    </row>
    <row r="28" customFormat="false" ht="15" hidden="false" customHeight="true" outlineLevel="0" collapsed="false">
      <c r="A28" s="2"/>
      <c r="B28" s="9" t="s">
        <v>229</v>
      </c>
      <c r="C28" s="9"/>
      <c r="D28" s="21" t="n">
        <f aca="false">COUNTBLANK(D9:D23)</f>
        <v>0</v>
      </c>
      <c r="E28" s="2"/>
      <c r="F28" s="2"/>
      <c r="G28" s="2"/>
      <c r="H28" s="2"/>
    </row>
    <row r="29" customFormat="false" ht="15" hidden="false" customHeight="true" outlineLevel="0" collapsed="false">
      <c r="A29" s="2"/>
      <c r="B29" s="9" t="s">
        <v>230</v>
      </c>
      <c r="C29" s="9"/>
      <c r="D29" s="16" t="n">
        <f aca="false">IFERROR(D25/(D25+D26),"")</f>
        <v>0.857142857142857</v>
      </c>
      <c r="E29" s="2"/>
      <c r="F29" s="2"/>
      <c r="G29" s="2"/>
      <c r="H29" s="2"/>
    </row>
    <row r="30" customFormat="false" ht="15" hidden="false" customHeight="true" outlineLevel="0" collapsed="false">
      <c r="A30" s="2"/>
      <c r="B30" s="9" t="s">
        <v>231</v>
      </c>
      <c r="C30" s="9"/>
      <c r="D30" s="21" t="n">
        <f aca="false">COUNTIF(F9:F23,"ESCALATE NOW")</f>
        <v>1</v>
      </c>
      <c r="E30" s="2"/>
      <c r="F30" s="2"/>
      <c r="G30" s="2"/>
      <c r="H30" s="2"/>
    </row>
    <row r="31" customFormat="false" ht="15" hidden="false" customHeight="true" outlineLevel="0" collapsed="false">
      <c r="A31" s="2"/>
      <c r="B31" s="9" t="s">
        <v>232</v>
      </c>
      <c r="C31" s="9"/>
      <c r="D31" s="18" t="str">
        <f aca="false">IF(D28&gt;0,"INCOMPLETE",IF(D30&gt;0,"CRITICAL – escalate to Head of Institution",IF(D26&gt;0,"Deficiencies – corrective action required","SATISFACTORY")))</f>
        <v>CRITICAL – escalate to Head of Institution</v>
      </c>
      <c r="E31" s="18"/>
      <c r="F31" s="18"/>
      <c r="G31" s="18"/>
      <c r="H31" s="2"/>
    </row>
  </sheetData>
  <mergeCells count="11">
    <mergeCell ref="B4:C4"/>
    <mergeCell ref="B5:C5"/>
    <mergeCell ref="B6:C6"/>
    <mergeCell ref="B25:C25"/>
    <mergeCell ref="B26:C26"/>
    <mergeCell ref="B27:C27"/>
    <mergeCell ref="B28:C28"/>
    <mergeCell ref="B29:C29"/>
    <mergeCell ref="B30:C30"/>
    <mergeCell ref="B31:C31"/>
    <mergeCell ref="D31:G31"/>
  </mergeCells>
  <conditionalFormatting sqref="D9:D23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"Non-compliant"</formula>
    </cfRule>
  </conditionalFormatting>
  <conditionalFormatting sqref="F9:F23">
    <cfRule type="cellIs" priority="5" operator="equal" aboveAverage="0" equalAverage="0" bottom="0" percent="0" rank="0" text="" dxfId="1">
      <formula>"Corrective action"</formula>
    </cfRule>
    <cfRule type="cellIs" priority="6" operator="equal" aboveAverage="0" equalAverage="0" bottom="0" percent="0" rank="0" text="" dxfId="3">
      <formula>"ESCALATE NOW"</formula>
    </cfRule>
  </conditionalFormatting>
  <conditionalFormatting sqref="D31">
    <cfRule type="cellIs" priority="7" operator="equal" aboveAverage="0" equalAverage="0" bottom="0" percent="0" rank="0" text="" dxfId="0">
      <formula>"SATISFACTORY"</formula>
    </cfRule>
    <cfRule type="cellIs" priority="8" operator="equal" aboveAverage="0" equalAverage="0" bottom="0" percent="0" rank="0" text="" dxfId="1">
      <formula>"INCOMPLETE"</formula>
    </cfRule>
    <cfRule type="cellIs" priority="9" operator="equal" aboveAverage="0" equalAverage="0" bottom="0" percent="0" rank="0" text="" dxfId="1">
      <formula>"Deficiencies – corrective action required"</formula>
    </cfRule>
    <cfRule type="cellIs" priority="10" operator="equal" aboveAverage="0" equalAverage="0" bottom="0" percent="0" rank="0" text="" dxfId="3">
      <formula>"CRITICAL – escalate to Head of Institution"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D9:D23" type="list">
      <formula1>Lists!$C$2:$C$4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E9:E23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1.5" hidden="false" customHeight="true" outlineLevel="0" collapsed="false">
      <c r="A4" s="12" t="s">
        <v>235</v>
      </c>
      <c r="B4" s="12" t="s">
        <v>116</v>
      </c>
      <c r="C4" s="12" t="s">
        <v>236</v>
      </c>
      <c r="D4" s="12" t="s">
        <v>237</v>
      </c>
      <c r="E4" s="12" t="s">
        <v>238</v>
      </c>
      <c r="F4" s="12" t="s">
        <v>239</v>
      </c>
      <c r="G4" s="12" t="s">
        <v>240</v>
      </c>
      <c r="H4" s="12" t="s">
        <v>241</v>
      </c>
      <c r="I4" s="12" t="s">
        <v>242</v>
      </c>
      <c r="J4" s="12" t="s">
        <v>231</v>
      </c>
      <c r="K4" s="12" t="s">
        <v>52</v>
      </c>
      <c r="L4" s="12" t="s">
        <v>243</v>
      </c>
    </row>
    <row r="5" customFormat="false" ht="26.85" hidden="false" customHeight="false" outlineLevel="0" collapsed="false">
      <c r="A5" s="10" t="s">
        <v>179</v>
      </c>
      <c r="B5" s="10" t="s">
        <v>244</v>
      </c>
      <c r="C5" s="10" t="s">
        <v>245</v>
      </c>
      <c r="D5" s="11" t="n">
        <v>46302</v>
      </c>
      <c r="E5" s="11" t="n">
        <v>46302</v>
      </c>
      <c r="F5" s="10" t="s">
        <v>182</v>
      </c>
      <c r="G5" s="22" t="n">
        <v>14</v>
      </c>
      <c r="H5" s="22" t="n">
        <v>12</v>
      </c>
      <c r="I5" s="26" t="n">
        <f aca="false">IF(OR(G5="",H5="",G5=0),"",H5/G5)</f>
        <v>0.857142857142857</v>
      </c>
      <c r="J5" s="22" t="n">
        <v>1</v>
      </c>
      <c r="K5" s="18" t="str">
        <f aca="false">IF(D5="","",IF(E5&lt;&gt;"","Completed",IF(D5&lt;Dashboard!$C$5,"Missed",IF(D5-Dashboard!$C$5&lt;=Lists!$R$5,"Due soon","Scheduled"))))</f>
        <v>Completed</v>
      </c>
      <c r="L5" s="10"/>
    </row>
    <row r="6" customFormat="false" ht="26.85" hidden="false" customHeight="false" outlineLevel="0" collapsed="false">
      <c r="A6" s="10" t="s">
        <v>132</v>
      </c>
      <c r="B6" s="10" t="s">
        <v>133</v>
      </c>
      <c r="C6" s="10" t="s">
        <v>103</v>
      </c>
      <c r="D6" s="11" t="n">
        <v>46287</v>
      </c>
      <c r="E6" s="11" t="n">
        <v>46288</v>
      </c>
      <c r="F6" s="10" t="s">
        <v>137</v>
      </c>
      <c r="G6" s="22" t="n">
        <v>11</v>
      </c>
      <c r="H6" s="22" t="n">
        <v>10</v>
      </c>
      <c r="I6" s="26" t="n">
        <f aca="false">IF(OR(G6="",H6="",G6=0),"",H6/G6)</f>
        <v>0.909090909090909</v>
      </c>
      <c r="J6" s="22" t="n">
        <v>0</v>
      </c>
      <c r="K6" s="18" t="str">
        <f aca="false">IF(D6="","",IF(E6&lt;&gt;"","Completed",IF(D6&lt;Dashboard!$C$5,"Missed",IF(D6-Dashboard!$C$5&lt;=Lists!$R$5,"Due soon","Scheduled"))))</f>
        <v>Completed</v>
      </c>
      <c r="L6" s="10"/>
    </row>
    <row r="7" customFormat="false" ht="26.85" hidden="false" customHeight="false" outlineLevel="0" collapsed="false">
      <c r="A7" s="10" t="s">
        <v>144</v>
      </c>
      <c r="B7" s="10" t="s">
        <v>145</v>
      </c>
      <c r="C7" s="10" t="s">
        <v>145</v>
      </c>
      <c r="D7" s="11" t="n">
        <v>46290</v>
      </c>
      <c r="E7" s="11" t="n">
        <v>46290</v>
      </c>
      <c r="F7" s="10" t="s">
        <v>149</v>
      </c>
      <c r="G7" s="22" t="n">
        <v>9</v>
      </c>
      <c r="H7" s="22" t="n">
        <v>9</v>
      </c>
      <c r="I7" s="26" t="n">
        <f aca="false">IF(OR(G7="",H7="",G7=0),"",H7/G7)</f>
        <v>1</v>
      </c>
      <c r="J7" s="22" t="n">
        <v>0</v>
      </c>
      <c r="K7" s="18" t="str">
        <f aca="false">IF(D7="","",IF(E7&lt;&gt;"","Completed",IF(D7&lt;Dashboard!$C$5,"Missed",IF(D7-Dashboard!$C$5&lt;=Lists!$R$5,"Due soon","Scheduled"))))</f>
        <v>Completed</v>
      </c>
      <c r="L7" s="10"/>
    </row>
    <row r="8" customFormat="false" ht="26.85" hidden="false" customHeight="false" outlineLevel="0" collapsed="false">
      <c r="A8" s="10" t="s">
        <v>246</v>
      </c>
      <c r="B8" s="10" t="s">
        <v>139</v>
      </c>
      <c r="C8" s="10" t="s">
        <v>247</v>
      </c>
      <c r="D8" s="11" t="n">
        <v>46295</v>
      </c>
      <c r="E8" s="11"/>
      <c r="F8" s="10" t="s">
        <v>143</v>
      </c>
      <c r="G8" s="22"/>
      <c r="H8" s="22"/>
      <c r="I8" s="26" t="str">
        <f aca="false">IF(OR(G8="",H8="",G8=0),"",H8/G8)</f>
        <v/>
      </c>
      <c r="J8" s="22"/>
      <c r="K8" s="18" t="str">
        <f aca="false">IF(D8="","",IF(E8&lt;&gt;"","Completed",IF(D8&lt;Dashboard!$C$5,"Missed",IF(D8-Dashboard!$C$5&lt;=Lists!$R$5,"Due soon","Scheduled"))))</f>
        <v>Missed</v>
      </c>
      <c r="L8" s="10"/>
    </row>
    <row r="9" customFormat="false" ht="39.55" hidden="false" customHeight="false" outlineLevel="0" collapsed="false">
      <c r="A9" s="10" t="s">
        <v>150</v>
      </c>
      <c r="B9" s="10" t="s">
        <v>151</v>
      </c>
      <c r="C9" s="10" t="s">
        <v>248</v>
      </c>
      <c r="D9" s="11" t="n">
        <v>46313</v>
      </c>
      <c r="E9" s="11"/>
      <c r="F9" s="10" t="s">
        <v>249</v>
      </c>
      <c r="G9" s="22"/>
      <c r="H9" s="22"/>
      <c r="I9" s="26" t="str">
        <f aca="false">IF(OR(G9="",H9="",G9=0),"",H9/G9)</f>
        <v/>
      </c>
      <c r="J9" s="22"/>
      <c r="K9" s="18" t="str">
        <f aca="false">IF(D9="","",IF(E9&lt;&gt;"","Completed",IF(D9&lt;Dashboard!$C$5,"Missed",IF(D9-Dashboard!$C$5&lt;=Lists!$R$5,"Due soon","Scheduled"))))</f>
        <v>Due soon</v>
      </c>
      <c r="L9" s="10"/>
    </row>
    <row r="10" customFormat="false" ht="26.85" hidden="false" customHeight="false" outlineLevel="0" collapsed="false">
      <c r="A10" s="10" t="s">
        <v>250</v>
      </c>
      <c r="B10" s="10" t="s">
        <v>157</v>
      </c>
      <c r="C10" s="10" t="s">
        <v>251</v>
      </c>
      <c r="D10" s="11" t="n">
        <v>46331</v>
      </c>
      <c r="E10" s="11"/>
      <c r="F10" s="10" t="s">
        <v>182</v>
      </c>
      <c r="G10" s="22"/>
      <c r="H10" s="22"/>
      <c r="I10" s="26" t="str">
        <f aca="false">IF(OR(G10="",H10="",G10=0),"",H10/G10)</f>
        <v/>
      </c>
      <c r="J10" s="22"/>
      <c r="K10" s="18" t="str">
        <f aca="false">IF(D10="","",IF(E10&lt;&gt;"","Completed",IF(D10&lt;Dashboard!$C$5,"Missed",IF(D10-Dashboard!$C$5&lt;=Lists!$R$5,"Due soon","Scheduled"))))</f>
        <v>Scheduled</v>
      </c>
      <c r="L10" s="10"/>
    </row>
    <row r="11" customFormat="false" ht="15" hidden="false" customHeight="false" outlineLevel="0" collapsed="false">
      <c r="A11" s="10"/>
      <c r="B11" s="10"/>
      <c r="C11" s="10"/>
      <c r="D11" s="11"/>
      <c r="E11" s="11"/>
      <c r="F11" s="10"/>
      <c r="G11" s="22"/>
      <c r="H11" s="22"/>
      <c r="I11" s="26" t="str">
        <f aca="false">IF(OR(G11="",H11="",G11=0),"",H11/G11)</f>
        <v/>
      </c>
      <c r="J11" s="22"/>
      <c r="K11" s="18" t="str">
        <f aca="false">IF(D11="","",IF(E11&lt;&gt;"","Completed",IF(D11&lt;Dashboard!$C$5,"Missed",IF(D11-Dashboard!$C$5&lt;=Lists!$R$5,"Due soon","Scheduled"))))</f>
        <v/>
      </c>
      <c r="L11" s="10"/>
    </row>
    <row r="12" customFormat="false" ht="15" hidden="false" customHeight="false" outlineLevel="0" collapsed="false">
      <c r="A12" s="10"/>
      <c r="B12" s="10"/>
      <c r="C12" s="10"/>
      <c r="D12" s="11"/>
      <c r="E12" s="11"/>
      <c r="F12" s="10"/>
      <c r="G12" s="22"/>
      <c r="H12" s="22"/>
      <c r="I12" s="26" t="str">
        <f aca="false">IF(OR(G12="",H12="",G12=0),"",H12/G12)</f>
        <v/>
      </c>
      <c r="J12" s="22"/>
      <c r="K12" s="18" t="str">
        <f aca="false">IF(D12="","",IF(E12&lt;&gt;"","Completed",IF(D12&lt;Dashboard!$C$5,"Missed",IF(D12-Dashboard!$C$5&lt;=Lists!$R$5,"Due soon","Scheduled"))))</f>
        <v/>
      </c>
      <c r="L12" s="10"/>
    </row>
    <row r="13" customFormat="false" ht="15" hidden="false" customHeight="false" outlineLevel="0" collapsed="false">
      <c r="A13" s="10"/>
      <c r="B13" s="10"/>
      <c r="C13" s="10"/>
      <c r="D13" s="11"/>
      <c r="E13" s="11"/>
      <c r="F13" s="10"/>
      <c r="G13" s="22"/>
      <c r="H13" s="22"/>
      <c r="I13" s="26" t="str">
        <f aca="false">IF(OR(G13="",H13="",G13=0),"",H13/G13)</f>
        <v/>
      </c>
      <c r="J13" s="22"/>
      <c r="K13" s="18" t="str">
        <f aca="false">IF(D13="","",IF(E13&lt;&gt;"","Completed",IF(D13&lt;Dashboard!$C$5,"Missed",IF(D13-Dashboard!$C$5&lt;=Lists!$R$5,"Due soon","Scheduled"))))</f>
        <v/>
      </c>
      <c r="L13" s="10"/>
    </row>
    <row r="14" customFormat="false" ht="15" hidden="false" customHeight="false" outlineLevel="0" collapsed="false">
      <c r="A14" s="10"/>
      <c r="B14" s="10"/>
      <c r="C14" s="10"/>
      <c r="D14" s="11"/>
      <c r="E14" s="11"/>
      <c r="F14" s="10"/>
      <c r="G14" s="22"/>
      <c r="H14" s="22"/>
      <c r="I14" s="26" t="str">
        <f aca="false">IF(OR(G14="",H14="",G14=0),"",H14/G14)</f>
        <v/>
      </c>
      <c r="J14" s="22"/>
      <c r="K14" s="18" t="str">
        <f aca="false">IF(D14="","",IF(E14&lt;&gt;"","Completed",IF(D14&lt;Dashboard!$C$5,"Missed",IF(D14-Dashboard!$C$5&lt;=Lists!$R$5,"Due soon","Scheduled"))))</f>
        <v/>
      </c>
      <c r="L14" s="10"/>
    </row>
    <row r="15" customFormat="false" ht="15" hidden="false" customHeight="false" outlineLevel="0" collapsed="false">
      <c r="A15" s="10"/>
      <c r="B15" s="10"/>
      <c r="C15" s="10"/>
      <c r="D15" s="11"/>
      <c r="E15" s="11"/>
      <c r="F15" s="10"/>
      <c r="G15" s="22"/>
      <c r="H15" s="22"/>
      <c r="I15" s="26" t="str">
        <f aca="false">IF(OR(G15="",H15="",G15=0),"",H15/G15)</f>
        <v/>
      </c>
      <c r="J15" s="22"/>
      <c r="K15" s="18" t="str">
        <f aca="false">IF(D15="","",IF(E15&lt;&gt;"","Completed",IF(D15&lt;Dashboard!$C$5,"Missed",IF(D15-Dashboard!$C$5&lt;=Lists!$R$5,"Due soon","Scheduled"))))</f>
        <v/>
      </c>
      <c r="L15" s="10"/>
    </row>
    <row r="16" customFormat="false" ht="15" hidden="false" customHeight="false" outlineLevel="0" collapsed="false">
      <c r="A16" s="10"/>
      <c r="B16" s="10"/>
      <c r="C16" s="10"/>
      <c r="D16" s="11"/>
      <c r="E16" s="11"/>
      <c r="F16" s="10"/>
      <c r="G16" s="22"/>
      <c r="H16" s="22"/>
      <c r="I16" s="26" t="str">
        <f aca="false">IF(OR(G16="",H16="",G16=0),"",H16/G16)</f>
        <v/>
      </c>
      <c r="J16" s="22"/>
      <c r="K16" s="18" t="str">
        <f aca="false">IF(D16="","",IF(E16&lt;&gt;"","Completed",IF(D16&lt;Dashboard!$C$5,"Missed",IF(D16-Dashboard!$C$5&lt;=Lists!$R$5,"Due soon","Scheduled"))))</f>
        <v/>
      </c>
      <c r="L16" s="10"/>
    </row>
    <row r="17" customFormat="false" ht="15" hidden="false" customHeight="false" outlineLevel="0" collapsed="false">
      <c r="A17" s="10"/>
      <c r="B17" s="10"/>
      <c r="C17" s="10"/>
      <c r="D17" s="11"/>
      <c r="E17" s="11"/>
      <c r="F17" s="10"/>
      <c r="G17" s="22"/>
      <c r="H17" s="22"/>
      <c r="I17" s="26" t="str">
        <f aca="false">IF(OR(G17="",H17="",G17=0),"",H17/G17)</f>
        <v/>
      </c>
      <c r="J17" s="22"/>
      <c r="K17" s="18" t="str">
        <f aca="false">IF(D17="","",IF(E17&lt;&gt;"","Completed",IF(D17&lt;Dashboard!$C$5,"Missed",IF(D17-Dashboard!$C$5&lt;=Lists!$R$5,"Due soon","Scheduled"))))</f>
        <v/>
      </c>
      <c r="L17" s="10"/>
    </row>
    <row r="18" customFormat="false" ht="15" hidden="false" customHeight="false" outlineLevel="0" collapsed="false">
      <c r="A18" s="10"/>
      <c r="B18" s="10"/>
      <c r="C18" s="10"/>
      <c r="D18" s="11"/>
      <c r="E18" s="11"/>
      <c r="F18" s="10"/>
      <c r="G18" s="22"/>
      <c r="H18" s="22"/>
      <c r="I18" s="26" t="str">
        <f aca="false">IF(OR(G18="",H18="",G18=0),"",H18/G18)</f>
        <v/>
      </c>
      <c r="J18" s="22"/>
      <c r="K18" s="18" t="str">
        <f aca="false">IF(D18="","",IF(E18&lt;&gt;"","Completed",IF(D18&lt;Dashboard!$C$5,"Missed",IF(D18-Dashboard!$C$5&lt;=Lists!$R$5,"Due soon","Scheduled"))))</f>
        <v/>
      </c>
      <c r="L18" s="10"/>
    </row>
    <row r="19" customFormat="false" ht="15" hidden="false" customHeight="false" outlineLevel="0" collapsed="false">
      <c r="A19" s="10"/>
      <c r="B19" s="10"/>
      <c r="C19" s="10"/>
      <c r="D19" s="11"/>
      <c r="E19" s="11"/>
      <c r="F19" s="10"/>
      <c r="G19" s="22"/>
      <c r="H19" s="22"/>
      <c r="I19" s="26" t="str">
        <f aca="false">IF(OR(G19="",H19="",G19=0),"",H19/G19)</f>
        <v/>
      </c>
      <c r="J19" s="22"/>
      <c r="K19" s="18" t="str">
        <f aca="false">IF(D19="","",IF(E19&lt;&gt;"","Completed",IF(D19&lt;Dashboard!$C$5,"Missed",IF(D19-Dashboard!$C$5&lt;=Lists!$R$5,"Due soon","Scheduled"))))</f>
        <v/>
      </c>
      <c r="L19" s="10"/>
    </row>
    <row r="20" customFormat="false" ht="15" hidden="false" customHeight="false" outlineLevel="0" collapsed="false">
      <c r="A20" s="10"/>
      <c r="B20" s="10"/>
      <c r="C20" s="10"/>
      <c r="D20" s="11"/>
      <c r="E20" s="11"/>
      <c r="F20" s="10"/>
      <c r="G20" s="22"/>
      <c r="H20" s="22"/>
      <c r="I20" s="26" t="str">
        <f aca="false">IF(OR(G20="",H20="",G20=0),"",H20/G20)</f>
        <v/>
      </c>
      <c r="J20" s="22"/>
      <c r="K20" s="18" t="str">
        <f aca="false">IF(D20="","",IF(E20&lt;&gt;"","Completed",IF(D20&lt;Dashboard!$C$5,"Missed",IF(D20-Dashboard!$C$5&lt;=Lists!$R$5,"Due soon","Scheduled"))))</f>
        <v/>
      </c>
      <c r="L20" s="10"/>
    </row>
    <row r="21" customFormat="false" ht="15" hidden="false" customHeight="false" outlineLevel="0" collapsed="false">
      <c r="A21" s="10"/>
      <c r="B21" s="10"/>
      <c r="C21" s="10"/>
      <c r="D21" s="11"/>
      <c r="E21" s="11"/>
      <c r="F21" s="10"/>
      <c r="G21" s="22"/>
      <c r="H21" s="22"/>
      <c r="I21" s="26" t="str">
        <f aca="false">IF(OR(G21="",H21="",G21=0),"",H21/G21)</f>
        <v/>
      </c>
      <c r="J21" s="22"/>
      <c r="K21" s="18" t="str">
        <f aca="false">IF(D21="","",IF(E21&lt;&gt;"","Completed",IF(D21&lt;Dashboard!$C$5,"Missed",IF(D21-Dashboard!$C$5&lt;=Lists!$R$5,"Due soon","Scheduled"))))</f>
        <v/>
      </c>
      <c r="L21" s="10"/>
    </row>
    <row r="22" customFormat="false" ht="15" hidden="false" customHeight="false" outlineLevel="0" collapsed="false">
      <c r="A22" s="10"/>
      <c r="B22" s="10"/>
      <c r="C22" s="10"/>
      <c r="D22" s="11"/>
      <c r="E22" s="11"/>
      <c r="F22" s="10"/>
      <c r="G22" s="22"/>
      <c r="H22" s="22"/>
      <c r="I22" s="26" t="str">
        <f aca="false">IF(OR(G22="",H22="",G22=0),"",H22/G22)</f>
        <v/>
      </c>
      <c r="J22" s="22"/>
      <c r="K22" s="18" t="str">
        <f aca="false">IF(D22="","",IF(E22&lt;&gt;"","Completed",IF(D22&lt;Dashboard!$C$5,"Missed",IF(D22-Dashboard!$C$5&lt;=Lists!$R$5,"Due soon","Scheduled"))))</f>
        <v/>
      </c>
      <c r="L22" s="10"/>
    </row>
    <row r="23" customFormat="false" ht="15" hidden="false" customHeight="false" outlineLevel="0" collapsed="false">
      <c r="A23" s="10"/>
      <c r="B23" s="10"/>
      <c r="C23" s="10"/>
      <c r="D23" s="11"/>
      <c r="E23" s="11"/>
      <c r="F23" s="10"/>
      <c r="G23" s="22"/>
      <c r="H23" s="22"/>
      <c r="I23" s="26" t="str">
        <f aca="false">IF(OR(G23="",H23="",G23=0),"",H23/G23)</f>
        <v/>
      </c>
      <c r="J23" s="22"/>
      <c r="K23" s="18" t="str">
        <f aca="false">IF(D23="","",IF(E23&lt;&gt;"","Completed",IF(D23&lt;Dashboard!$C$5,"Missed",IF(D23-Dashboard!$C$5&lt;=Lists!$R$5,"Due soon","Scheduled"))))</f>
        <v/>
      </c>
      <c r="L23" s="10"/>
    </row>
    <row r="24" customFormat="false" ht="15" hidden="false" customHeight="false" outlineLevel="0" collapsed="false">
      <c r="A24" s="10"/>
      <c r="B24" s="10"/>
      <c r="C24" s="10"/>
      <c r="D24" s="11"/>
      <c r="E24" s="11"/>
      <c r="F24" s="10"/>
      <c r="G24" s="22"/>
      <c r="H24" s="22"/>
      <c r="I24" s="26" t="str">
        <f aca="false">IF(OR(G24="",H24="",G24=0),"",H24/G24)</f>
        <v/>
      </c>
      <c r="J24" s="22"/>
      <c r="K24" s="18" t="str">
        <f aca="false">IF(D24="","",IF(E24&lt;&gt;"","Completed",IF(D24&lt;Dashboard!$C$5,"Missed",IF(D24-Dashboard!$C$5&lt;=Lists!$R$5,"Due soon","Scheduled"))))</f>
        <v/>
      </c>
      <c r="L24" s="10"/>
    </row>
    <row r="25" customFormat="false" ht="15" hidden="false" customHeight="false" outlineLevel="0" collapsed="false">
      <c r="A25" s="10"/>
      <c r="B25" s="10"/>
      <c r="C25" s="10"/>
      <c r="D25" s="11"/>
      <c r="E25" s="11"/>
      <c r="F25" s="10"/>
      <c r="G25" s="22"/>
      <c r="H25" s="22"/>
      <c r="I25" s="26" t="str">
        <f aca="false">IF(OR(G25="",H25="",G25=0),"",H25/G25)</f>
        <v/>
      </c>
      <c r="J25" s="22"/>
      <c r="K25" s="18" t="str">
        <f aca="false">IF(D25="","",IF(E25&lt;&gt;"","Completed",IF(D25&lt;Dashboard!$C$5,"Missed",IF(D25-Dashboard!$C$5&lt;=Lists!$R$5,"Due soon","Scheduled"))))</f>
        <v/>
      </c>
      <c r="L25" s="10"/>
    </row>
    <row r="26" customFormat="false" ht="15" hidden="false" customHeight="false" outlineLevel="0" collapsed="false">
      <c r="A26" s="10"/>
      <c r="B26" s="10"/>
      <c r="C26" s="10"/>
      <c r="D26" s="11"/>
      <c r="E26" s="11"/>
      <c r="F26" s="10"/>
      <c r="G26" s="22"/>
      <c r="H26" s="22"/>
      <c r="I26" s="26" t="str">
        <f aca="false">IF(OR(G26="",H26="",G26=0),"",H26/G26)</f>
        <v/>
      </c>
      <c r="J26" s="22"/>
      <c r="K26" s="18" t="str">
        <f aca="false">IF(D26="","",IF(E26&lt;&gt;"","Completed",IF(D26&lt;Dashboard!$C$5,"Missed",IF(D26-Dashboard!$C$5&lt;=Lists!$R$5,"Due soon","Scheduled"))))</f>
        <v/>
      </c>
      <c r="L26" s="10"/>
    </row>
    <row r="27" customFormat="false" ht="15" hidden="false" customHeight="false" outlineLevel="0" collapsed="false">
      <c r="A27" s="10"/>
      <c r="B27" s="10"/>
      <c r="C27" s="10"/>
      <c r="D27" s="11"/>
      <c r="E27" s="11"/>
      <c r="F27" s="10"/>
      <c r="G27" s="22"/>
      <c r="H27" s="22"/>
      <c r="I27" s="26" t="str">
        <f aca="false">IF(OR(G27="",H27="",G27=0),"",H27/G27)</f>
        <v/>
      </c>
      <c r="J27" s="22"/>
      <c r="K27" s="18" t="str">
        <f aca="false">IF(D27="","",IF(E27&lt;&gt;"","Completed",IF(D27&lt;Dashboard!$C$5,"Missed",IF(D27-Dashboard!$C$5&lt;=Lists!$R$5,"Due soon","Scheduled"))))</f>
        <v/>
      </c>
      <c r="L27" s="10"/>
    </row>
    <row r="28" customFormat="false" ht="15" hidden="false" customHeight="false" outlineLevel="0" collapsed="false">
      <c r="A28" s="10"/>
      <c r="B28" s="10"/>
      <c r="C28" s="10"/>
      <c r="D28" s="11"/>
      <c r="E28" s="11"/>
      <c r="F28" s="10"/>
      <c r="G28" s="22"/>
      <c r="H28" s="22"/>
      <c r="I28" s="26" t="str">
        <f aca="false">IF(OR(G28="",H28="",G28=0),"",H28/G28)</f>
        <v/>
      </c>
      <c r="J28" s="22"/>
      <c r="K28" s="18" t="str">
        <f aca="false">IF(D28="","",IF(E28&lt;&gt;"","Completed",IF(D28&lt;Dashboard!$C$5,"Missed",IF(D28-Dashboard!$C$5&lt;=Lists!$R$5,"Due soon","Scheduled"))))</f>
        <v/>
      </c>
      <c r="L28" s="10"/>
    </row>
    <row r="29" customFormat="false" ht="15" hidden="false" customHeight="false" outlineLevel="0" collapsed="false">
      <c r="A29" s="10"/>
      <c r="B29" s="10"/>
      <c r="C29" s="10"/>
      <c r="D29" s="11"/>
      <c r="E29" s="11"/>
      <c r="F29" s="10"/>
      <c r="G29" s="22"/>
      <c r="H29" s="22"/>
      <c r="I29" s="26" t="str">
        <f aca="false">IF(OR(G29="",H29="",G29=0),"",H29/G29)</f>
        <v/>
      </c>
      <c r="J29" s="22"/>
      <c r="K29" s="18" t="str">
        <f aca="false">IF(D29="","",IF(E29&lt;&gt;"","Completed",IF(D29&lt;Dashboard!$C$5,"Missed",IF(D29-Dashboard!$C$5&lt;=Lists!$R$5,"Due soon","Scheduled"))))</f>
        <v/>
      </c>
      <c r="L29" s="10"/>
    </row>
    <row r="30" customFormat="false" ht="15" hidden="false" customHeight="false" outlineLevel="0" collapsed="false">
      <c r="A30" s="10"/>
      <c r="B30" s="10"/>
      <c r="C30" s="10"/>
      <c r="D30" s="11"/>
      <c r="E30" s="11"/>
      <c r="F30" s="10"/>
      <c r="G30" s="22"/>
      <c r="H30" s="22"/>
      <c r="I30" s="26" t="str">
        <f aca="false">IF(OR(G30="",H30="",G30=0),"",H30/G30)</f>
        <v/>
      </c>
      <c r="J30" s="22"/>
      <c r="K30" s="18" t="str">
        <f aca="false">IF(D30="","",IF(E30&lt;&gt;"","Completed",IF(D30&lt;Dashboard!$C$5,"Missed",IF(D30-Dashboard!$C$5&lt;=Lists!$R$5,"Due soon","Scheduled"))))</f>
        <v/>
      </c>
      <c r="L30" s="10"/>
    </row>
    <row r="31" customFormat="false" ht="15" hidden="false" customHeight="false" outlineLevel="0" collapsed="false">
      <c r="A31" s="10"/>
      <c r="B31" s="10"/>
      <c r="C31" s="10"/>
      <c r="D31" s="11"/>
      <c r="E31" s="11"/>
      <c r="F31" s="10"/>
      <c r="G31" s="22"/>
      <c r="H31" s="22"/>
      <c r="I31" s="26" t="str">
        <f aca="false">IF(OR(G31="",H31="",G31=0),"",H31/G31)</f>
        <v/>
      </c>
      <c r="J31" s="22"/>
      <c r="K31" s="18" t="str">
        <f aca="false">IF(D31="","",IF(E31&lt;&gt;"","Completed",IF(D31&lt;Dashboard!$C$5,"Missed",IF(D31-Dashboard!$C$5&lt;=Lists!$R$5,"Due soon","Scheduled"))))</f>
        <v/>
      </c>
      <c r="L31" s="10"/>
    </row>
    <row r="32" customFormat="false" ht="15" hidden="false" customHeight="false" outlineLevel="0" collapsed="false">
      <c r="A32" s="10"/>
      <c r="B32" s="10"/>
      <c r="C32" s="10"/>
      <c r="D32" s="11"/>
      <c r="E32" s="11"/>
      <c r="F32" s="10"/>
      <c r="G32" s="22"/>
      <c r="H32" s="22"/>
      <c r="I32" s="26" t="str">
        <f aca="false">IF(OR(G32="",H32="",G32=0),"",H32/G32)</f>
        <v/>
      </c>
      <c r="J32" s="22"/>
      <c r="K32" s="18" t="str">
        <f aca="false">IF(D32="","",IF(E32&lt;&gt;"","Completed",IF(D32&lt;Dashboard!$C$5,"Missed",IF(D32-Dashboard!$C$5&lt;=Lists!$R$5,"Due soon","Scheduled"))))</f>
        <v/>
      </c>
      <c r="L32" s="10"/>
    </row>
    <row r="33" customFormat="false" ht="15" hidden="false" customHeight="false" outlineLevel="0" collapsed="false">
      <c r="A33" s="10"/>
      <c r="B33" s="10"/>
      <c r="C33" s="10"/>
      <c r="D33" s="11"/>
      <c r="E33" s="11"/>
      <c r="F33" s="10"/>
      <c r="G33" s="22"/>
      <c r="H33" s="22"/>
      <c r="I33" s="26" t="str">
        <f aca="false">IF(OR(G33="",H33="",G33=0),"",H33/G33)</f>
        <v/>
      </c>
      <c r="J33" s="22"/>
      <c r="K33" s="18" t="str">
        <f aca="false">IF(D33="","",IF(E33&lt;&gt;"","Completed",IF(D33&lt;Dashboard!$C$5,"Missed",IF(D33-Dashboard!$C$5&lt;=Lists!$R$5,"Due soon","Scheduled"))))</f>
        <v/>
      </c>
      <c r="L33" s="10"/>
    </row>
    <row r="34" customFormat="false" ht="15" hidden="false" customHeight="false" outlineLevel="0" collapsed="false">
      <c r="A34" s="10"/>
      <c r="B34" s="10"/>
      <c r="C34" s="10"/>
      <c r="D34" s="11"/>
      <c r="E34" s="11"/>
      <c r="F34" s="10"/>
      <c r="G34" s="22"/>
      <c r="H34" s="22"/>
      <c r="I34" s="26" t="str">
        <f aca="false">IF(OR(G34="",H34="",G34=0),"",H34/G34)</f>
        <v/>
      </c>
      <c r="J34" s="22"/>
      <c r="K34" s="18" t="str">
        <f aca="false">IF(D34="","",IF(E34&lt;&gt;"","Completed",IF(D34&lt;Dashboard!$C$5,"Missed",IF(D34-Dashboard!$C$5&lt;=Lists!$R$5,"Due soon","Scheduled"))))</f>
        <v/>
      </c>
      <c r="L34" s="10"/>
    </row>
    <row r="35" customFormat="false" ht="15" hidden="false" customHeight="false" outlineLevel="0" collapsed="false">
      <c r="A35" s="10"/>
      <c r="B35" s="10"/>
      <c r="C35" s="10"/>
      <c r="D35" s="11"/>
      <c r="E35" s="11"/>
      <c r="F35" s="10"/>
      <c r="G35" s="22"/>
      <c r="H35" s="22"/>
      <c r="I35" s="26" t="str">
        <f aca="false">IF(OR(G35="",H35="",G35=0),"",H35/G35)</f>
        <v/>
      </c>
      <c r="J35" s="22"/>
      <c r="K35" s="18" t="str">
        <f aca="false">IF(D35="","",IF(E35&lt;&gt;"","Completed",IF(D35&lt;Dashboard!$C$5,"Missed",IF(D35-Dashboard!$C$5&lt;=Lists!$R$5,"Due soon","Scheduled"))))</f>
        <v/>
      </c>
      <c r="L35" s="10"/>
    </row>
    <row r="36" customFormat="false" ht="15" hidden="false" customHeight="false" outlineLevel="0" collapsed="false">
      <c r="A36" s="10"/>
      <c r="B36" s="10"/>
      <c r="C36" s="10"/>
      <c r="D36" s="11"/>
      <c r="E36" s="11"/>
      <c r="F36" s="10"/>
      <c r="G36" s="22"/>
      <c r="H36" s="22"/>
      <c r="I36" s="26" t="str">
        <f aca="false">IF(OR(G36="",H36="",G36=0),"",H36/G36)</f>
        <v/>
      </c>
      <c r="J36" s="22"/>
      <c r="K36" s="18" t="str">
        <f aca="false">IF(D36="","",IF(E36&lt;&gt;"","Completed",IF(D36&lt;Dashboard!$C$5,"Missed",IF(D36-Dashboard!$C$5&lt;=Lists!$R$5,"Due soon","Scheduled"))))</f>
        <v/>
      </c>
      <c r="L36" s="10"/>
    </row>
    <row r="37" customFormat="false" ht="15" hidden="false" customHeight="false" outlineLevel="0" collapsed="false">
      <c r="A37" s="10"/>
      <c r="B37" s="10"/>
      <c r="C37" s="10"/>
      <c r="D37" s="11"/>
      <c r="E37" s="11"/>
      <c r="F37" s="10"/>
      <c r="G37" s="22"/>
      <c r="H37" s="22"/>
      <c r="I37" s="26" t="str">
        <f aca="false">IF(OR(G37="",H37="",G37=0),"",H37/G37)</f>
        <v/>
      </c>
      <c r="J37" s="22"/>
      <c r="K37" s="18" t="str">
        <f aca="false">IF(D37="","",IF(E37&lt;&gt;"","Completed",IF(D37&lt;Dashboard!$C$5,"Missed",IF(D37-Dashboard!$C$5&lt;=Lists!$R$5,"Due soon","Scheduled"))))</f>
        <v/>
      </c>
      <c r="L37" s="10"/>
    </row>
    <row r="38" customFormat="false" ht="15" hidden="false" customHeight="false" outlineLevel="0" collapsed="false">
      <c r="A38" s="10"/>
      <c r="B38" s="10"/>
      <c r="C38" s="10"/>
      <c r="D38" s="11"/>
      <c r="E38" s="11"/>
      <c r="F38" s="10"/>
      <c r="G38" s="22"/>
      <c r="H38" s="22"/>
      <c r="I38" s="26" t="str">
        <f aca="false">IF(OR(G38="",H38="",G38=0),"",H38/G38)</f>
        <v/>
      </c>
      <c r="J38" s="22"/>
      <c r="K38" s="18" t="str">
        <f aca="false">IF(D38="","",IF(E38&lt;&gt;"","Completed",IF(D38&lt;Dashboard!$C$5,"Missed",IF(D38-Dashboard!$C$5&lt;=Lists!$R$5,"Due soon","Scheduled"))))</f>
        <v/>
      </c>
      <c r="L38" s="10"/>
    </row>
    <row r="39" customFormat="false" ht="15" hidden="false" customHeight="false" outlineLevel="0" collapsed="false">
      <c r="A39" s="10"/>
      <c r="B39" s="10"/>
      <c r="C39" s="10"/>
      <c r="D39" s="11"/>
      <c r="E39" s="11"/>
      <c r="F39" s="10"/>
      <c r="G39" s="22"/>
      <c r="H39" s="22"/>
      <c r="I39" s="26" t="str">
        <f aca="false">IF(OR(G39="",H39="",G39=0),"",H39/G39)</f>
        <v/>
      </c>
      <c r="J39" s="22"/>
      <c r="K39" s="18" t="str">
        <f aca="false">IF(D39="","",IF(E39&lt;&gt;"","Completed",IF(D39&lt;Dashboard!$C$5,"Missed",IF(D39-Dashboard!$C$5&lt;=Lists!$R$5,"Due soon","Scheduled"))))</f>
        <v/>
      </c>
      <c r="L39" s="10"/>
    </row>
    <row r="40" customFormat="false" ht="15" hidden="false" customHeight="false" outlineLevel="0" collapsed="false">
      <c r="A40" s="10"/>
      <c r="B40" s="10"/>
      <c r="C40" s="10"/>
      <c r="D40" s="11"/>
      <c r="E40" s="11"/>
      <c r="F40" s="10"/>
      <c r="G40" s="22"/>
      <c r="H40" s="22"/>
      <c r="I40" s="26" t="str">
        <f aca="false">IF(OR(G40="",H40="",G40=0),"",H40/G40)</f>
        <v/>
      </c>
      <c r="J40" s="22"/>
      <c r="K40" s="18" t="str">
        <f aca="false">IF(D40="","",IF(E40&lt;&gt;"","Completed",IF(D40&lt;Dashboard!$C$5,"Missed",IF(D40-Dashboard!$C$5&lt;=Lists!$R$5,"Due soon","Scheduled"))))</f>
        <v/>
      </c>
      <c r="L40" s="10"/>
    </row>
    <row r="41" customFormat="false" ht="15" hidden="false" customHeight="false" outlineLevel="0" collapsed="false">
      <c r="A41" s="10"/>
      <c r="B41" s="10"/>
      <c r="C41" s="10"/>
      <c r="D41" s="11"/>
      <c r="E41" s="11"/>
      <c r="F41" s="10"/>
      <c r="G41" s="22"/>
      <c r="H41" s="22"/>
      <c r="I41" s="26" t="str">
        <f aca="false">IF(OR(G41="",H41="",G41=0),"",H41/G41)</f>
        <v/>
      </c>
      <c r="J41" s="22"/>
      <c r="K41" s="18" t="str">
        <f aca="false">IF(D41="","",IF(E41&lt;&gt;"","Completed",IF(D41&lt;Dashboard!$C$5,"Missed",IF(D41-Dashboard!$C$5&lt;=Lists!$R$5,"Due soon","Scheduled"))))</f>
        <v/>
      </c>
      <c r="L41" s="10"/>
    </row>
    <row r="42" customFormat="false" ht="15" hidden="false" customHeight="false" outlineLevel="0" collapsed="false">
      <c r="A42" s="10"/>
      <c r="B42" s="10"/>
      <c r="C42" s="10"/>
      <c r="D42" s="11"/>
      <c r="E42" s="11"/>
      <c r="F42" s="10"/>
      <c r="G42" s="22"/>
      <c r="H42" s="22"/>
      <c r="I42" s="26" t="str">
        <f aca="false">IF(OR(G42="",H42="",G42=0),"",H42/G42)</f>
        <v/>
      </c>
      <c r="J42" s="22"/>
      <c r="K42" s="18" t="str">
        <f aca="false">IF(D42="","",IF(E42&lt;&gt;"","Completed",IF(D42&lt;Dashboard!$C$5,"Missed",IF(D42-Dashboard!$C$5&lt;=Lists!$R$5,"Due soon","Scheduled"))))</f>
        <v/>
      </c>
      <c r="L42" s="10"/>
    </row>
    <row r="43" customFormat="false" ht="15" hidden="false" customHeight="false" outlineLevel="0" collapsed="false">
      <c r="A43" s="10"/>
      <c r="B43" s="10"/>
      <c r="C43" s="10"/>
      <c r="D43" s="11"/>
      <c r="E43" s="11"/>
      <c r="F43" s="10"/>
      <c r="G43" s="22"/>
      <c r="H43" s="22"/>
      <c r="I43" s="26" t="str">
        <f aca="false">IF(OR(G43="",H43="",G43=0),"",H43/G43)</f>
        <v/>
      </c>
      <c r="J43" s="22"/>
      <c r="K43" s="18" t="str">
        <f aca="false">IF(D43="","",IF(E43&lt;&gt;"","Completed",IF(D43&lt;Dashboard!$C$5,"Missed",IF(D43-Dashboard!$C$5&lt;=Lists!$R$5,"Due soon","Scheduled"))))</f>
        <v/>
      </c>
      <c r="L43" s="10"/>
    </row>
    <row r="44" customFormat="false" ht="15" hidden="false" customHeight="false" outlineLevel="0" collapsed="false">
      <c r="A44" s="10"/>
      <c r="B44" s="10"/>
      <c r="C44" s="10"/>
      <c r="D44" s="11"/>
      <c r="E44" s="11"/>
      <c r="F44" s="10"/>
      <c r="G44" s="22"/>
      <c r="H44" s="22"/>
      <c r="I44" s="26" t="str">
        <f aca="false">IF(OR(G44="",H44="",G44=0),"",H44/G44)</f>
        <v/>
      </c>
      <c r="J44" s="22"/>
      <c r="K44" s="18" t="str">
        <f aca="false">IF(D44="","",IF(E44&lt;&gt;"","Completed",IF(D44&lt;Dashboard!$C$5,"Missed",IF(D44-Dashboard!$C$5&lt;=Lists!$R$5,"Due soon","Scheduled"))))</f>
        <v/>
      </c>
      <c r="L44" s="10"/>
    </row>
    <row r="45" customFormat="false" ht="15" hidden="false" customHeight="false" outlineLevel="0" collapsed="false">
      <c r="A45" s="10"/>
      <c r="B45" s="10"/>
      <c r="C45" s="10"/>
      <c r="D45" s="11"/>
      <c r="E45" s="11"/>
      <c r="F45" s="10"/>
      <c r="G45" s="22"/>
      <c r="H45" s="22"/>
      <c r="I45" s="26" t="str">
        <f aca="false">IF(OR(G45="",H45="",G45=0),"",H45/G45)</f>
        <v/>
      </c>
      <c r="J45" s="22"/>
      <c r="K45" s="18" t="str">
        <f aca="false">IF(D45="","",IF(E45&lt;&gt;"","Completed",IF(D45&lt;Dashboard!$C$5,"Missed",IF(D45-Dashboard!$C$5&lt;=Lists!$R$5,"Due soon","Scheduled"))))</f>
        <v/>
      </c>
      <c r="L45" s="10"/>
    </row>
    <row r="46" customFormat="false" ht="15" hidden="false" customHeight="false" outlineLevel="0" collapsed="false">
      <c r="A46" s="10"/>
      <c r="B46" s="10"/>
      <c r="C46" s="10"/>
      <c r="D46" s="11"/>
      <c r="E46" s="11"/>
      <c r="F46" s="10"/>
      <c r="G46" s="22"/>
      <c r="H46" s="22"/>
      <c r="I46" s="26" t="str">
        <f aca="false">IF(OR(G46="",H46="",G46=0),"",H46/G46)</f>
        <v/>
      </c>
      <c r="J46" s="22"/>
      <c r="K46" s="18" t="str">
        <f aca="false">IF(D46="","",IF(E46&lt;&gt;"","Completed",IF(D46&lt;Dashboard!$C$5,"Missed",IF(D46-Dashboard!$C$5&lt;=Lists!$R$5,"Due soon","Scheduled"))))</f>
        <v/>
      </c>
      <c r="L46" s="10"/>
    </row>
    <row r="47" customFormat="false" ht="15" hidden="false" customHeight="false" outlineLevel="0" collapsed="false">
      <c r="A47" s="10"/>
      <c r="B47" s="10"/>
      <c r="C47" s="10"/>
      <c r="D47" s="11"/>
      <c r="E47" s="11"/>
      <c r="F47" s="10"/>
      <c r="G47" s="22"/>
      <c r="H47" s="22"/>
      <c r="I47" s="26" t="str">
        <f aca="false">IF(OR(G47="",H47="",G47=0),"",H47/G47)</f>
        <v/>
      </c>
      <c r="J47" s="22"/>
      <c r="K47" s="18" t="str">
        <f aca="false">IF(D47="","",IF(E47&lt;&gt;"","Completed",IF(D47&lt;Dashboard!$C$5,"Missed",IF(D47-Dashboard!$C$5&lt;=Lists!$R$5,"Due soon","Scheduled"))))</f>
        <v/>
      </c>
      <c r="L47" s="10"/>
    </row>
    <row r="48" customFormat="false" ht="15" hidden="false" customHeight="false" outlineLevel="0" collapsed="false">
      <c r="A48" s="10"/>
      <c r="B48" s="10"/>
      <c r="C48" s="10"/>
      <c r="D48" s="11"/>
      <c r="E48" s="11"/>
      <c r="F48" s="10"/>
      <c r="G48" s="22"/>
      <c r="H48" s="22"/>
      <c r="I48" s="26" t="str">
        <f aca="false">IF(OR(G48="",H48="",G48=0),"",H48/G48)</f>
        <v/>
      </c>
      <c r="J48" s="22"/>
      <c r="K48" s="18" t="str">
        <f aca="false">IF(D48="","",IF(E48&lt;&gt;"","Completed",IF(D48&lt;Dashboard!$C$5,"Missed",IF(D48-Dashboard!$C$5&lt;=Lists!$R$5,"Due soon","Scheduled"))))</f>
        <v/>
      </c>
      <c r="L48" s="10"/>
    </row>
    <row r="49" customFormat="false" ht="15" hidden="false" customHeight="false" outlineLevel="0" collapsed="false">
      <c r="A49" s="10"/>
      <c r="B49" s="10"/>
      <c r="C49" s="10"/>
      <c r="D49" s="11"/>
      <c r="E49" s="11"/>
      <c r="F49" s="10"/>
      <c r="G49" s="22"/>
      <c r="H49" s="22"/>
      <c r="I49" s="26" t="str">
        <f aca="false">IF(OR(G49="",H49="",G49=0),"",H49/G49)</f>
        <v/>
      </c>
      <c r="J49" s="22"/>
      <c r="K49" s="18" t="str">
        <f aca="false">IF(D49="","",IF(E49&lt;&gt;"","Completed",IF(D49&lt;Dashboard!$C$5,"Missed",IF(D49-Dashboard!$C$5&lt;=Lists!$R$5,"Due soon","Scheduled"))))</f>
        <v/>
      </c>
      <c r="L49" s="10"/>
    </row>
    <row r="50" customFormat="false" ht="15" hidden="false" customHeight="false" outlineLevel="0" collapsed="false">
      <c r="A50" s="10"/>
      <c r="B50" s="10"/>
      <c r="C50" s="10"/>
      <c r="D50" s="11"/>
      <c r="E50" s="11"/>
      <c r="F50" s="10"/>
      <c r="G50" s="22"/>
      <c r="H50" s="22"/>
      <c r="I50" s="26" t="str">
        <f aca="false">IF(OR(G50="",H50="",G50=0),"",H50/G50)</f>
        <v/>
      </c>
      <c r="J50" s="22"/>
      <c r="K50" s="18" t="str">
        <f aca="false">IF(D50="","",IF(E50&lt;&gt;"","Completed",IF(D50&lt;Dashboard!$C$5,"Missed",IF(D50-Dashboard!$C$5&lt;=Lists!$R$5,"Due soon","Scheduled"))))</f>
        <v/>
      </c>
      <c r="L50" s="10"/>
    </row>
    <row r="51" customFormat="false" ht="15" hidden="false" customHeight="false" outlineLevel="0" collapsed="false">
      <c r="A51" s="10"/>
      <c r="B51" s="10"/>
      <c r="C51" s="10"/>
      <c r="D51" s="11"/>
      <c r="E51" s="11"/>
      <c r="F51" s="10"/>
      <c r="G51" s="22"/>
      <c r="H51" s="22"/>
      <c r="I51" s="26" t="str">
        <f aca="false">IF(OR(G51="",H51="",G51=0),"",H51/G51)</f>
        <v/>
      </c>
      <c r="J51" s="22"/>
      <c r="K51" s="18" t="str">
        <f aca="false">IF(D51="","",IF(E51&lt;&gt;"","Completed",IF(D51&lt;Dashboard!$C$5,"Missed",IF(D51-Dashboard!$C$5&lt;=Lists!$R$5,"Due soon","Scheduled"))))</f>
        <v/>
      </c>
      <c r="L51" s="10"/>
    </row>
    <row r="52" customFormat="false" ht="15" hidden="false" customHeight="false" outlineLevel="0" collapsed="false">
      <c r="A52" s="10"/>
      <c r="B52" s="10"/>
      <c r="C52" s="10"/>
      <c r="D52" s="11"/>
      <c r="E52" s="11"/>
      <c r="F52" s="10"/>
      <c r="G52" s="22"/>
      <c r="H52" s="22"/>
      <c r="I52" s="26" t="str">
        <f aca="false">IF(OR(G52="",H52="",G52=0),"",H52/G52)</f>
        <v/>
      </c>
      <c r="J52" s="22"/>
      <c r="K52" s="18" t="str">
        <f aca="false">IF(D52="","",IF(E52&lt;&gt;"","Completed",IF(D52&lt;Dashboard!$C$5,"Missed",IF(D52-Dashboard!$C$5&lt;=Lists!$R$5,"Due soon","Scheduled"))))</f>
        <v/>
      </c>
      <c r="L52" s="10"/>
    </row>
    <row r="53" customFormat="false" ht="15" hidden="false" customHeight="false" outlineLevel="0" collapsed="false">
      <c r="A53" s="10"/>
      <c r="B53" s="10"/>
      <c r="C53" s="10"/>
      <c r="D53" s="11"/>
      <c r="E53" s="11"/>
      <c r="F53" s="10"/>
      <c r="G53" s="22"/>
      <c r="H53" s="22"/>
      <c r="I53" s="26" t="str">
        <f aca="false">IF(OR(G53="",H53="",G53=0),"",H53/G53)</f>
        <v/>
      </c>
      <c r="J53" s="22"/>
      <c r="K53" s="18" t="str">
        <f aca="false">IF(D53="","",IF(E53&lt;&gt;"","Completed",IF(D53&lt;Dashboard!$C$5,"Missed",IF(D53-Dashboard!$C$5&lt;=Lists!$R$5,"Due soon","Scheduled"))))</f>
        <v/>
      </c>
      <c r="L53" s="10"/>
    </row>
    <row r="54" customFormat="false" ht="15" hidden="false" customHeight="false" outlineLevel="0" collapsed="false">
      <c r="A54" s="10"/>
      <c r="B54" s="10"/>
      <c r="C54" s="10"/>
      <c r="D54" s="11"/>
      <c r="E54" s="11"/>
      <c r="F54" s="10"/>
      <c r="G54" s="22"/>
      <c r="H54" s="22"/>
      <c r="I54" s="26" t="str">
        <f aca="false">IF(OR(G54="",H54="",G54=0),"",H54/G54)</f>
        <v/>
      </c>
      <c r="J54" s="22"/>
      <c r="K54" s="18" t="str">
        <f aca="false">IF(D54="","",IF(E54&lt;&gt;"","Completed",IF(D54&lt;Dashboard!$C$5,"Missed",IF(D54-Dashboard!$C$5&lt;=Lists!$R$5,"Due soon","Scheduled"))))</f>
        <v/>
      </c>
      <c r="L54" s="10"/>
    </row>
    <row r="55" customFormat="false" ht="15" hidden="false" customHeight="false" outlineLevel="0" collapsed="false">
      <c r="A55" s="10"/>
      <c r="B55" s="10"/>
      <c r="C55" s="10"/>
      <c r="D55" s="11"/>
      <c r="E55" s="11"/>
      <c r="F55" s="10"/>
      <c r="G55" s="22"/>
      <c r="H55" s="22"/>
      <c r="I55" s="26" t="str">
        <f aca="false">IF(OR(G55="",H55="",G55=0),"",H55/G55)</f>
        <v/>
      </c>
      <c r="J55" s="22"/>
      <c r="K55" s="18" t="str">
        <f aca="false">IF(D55="","",IF(E55&lt;&gt;"","Completed",IF(D55&lt;Dashboard!$C$5,"Missed",IF(D55-Dashboard!$C$5&lt;=Lists!$R$5,"Due soon","Scheduled"))))</f>
        <v/>
      </c>
      <c r="L55" s="10"/>
    </row>
    <row r="56" customFormat="false" ht="15" hidden="false" customHeight="false" outlineLevel="0" collapsed="false">
      <c r="A56" s="10"/>
      <c r="B56" s="10"/>
      <c r="C56" s="10"/>
      <c r="D56" s="11"/>
      <c r="E56" s="11"/>
      <c r="F56" s="10"/>
      <c r="G56" s="22"/>
      <c r="H56" s="22"/>
      <c r="I56" s="26" t="str">
        <f aca="false">IF(OR(G56="",H56="",G56=0),"",H56/G56)</f>
        <v/>
      </c>
      <c r="J56" s="22"/>
      <c r="K56" s="18" t="str">
        <f aca="false">IF(D56="","",IF(E56&lt;&gt;"","Completed",IF(D56&lt;Dashboard!$C$5,"Missed",IF(D56-Dashboard!$C$5&lt;=Lists!$R$5,"Due soon","Scheduled"))))</f>
        <v/>
      </c>
      <c r="L56" s="10"/>
    </row>
    <row r="57" customFormat="false" ht="15" hidden="false" customHeight="false" outlineLevel="0" collapsed="false">
      <c r="A57" s="10"/>
      <c r="B57" s="10"/>
      <c r="C57" s="10"/>
      <c r="D57" s="11"/>
      <c r="E57" s="11"/>
      <c r="F57" s="10"/>
      <c r="G57" s="22"/>
      <c r="H57" s="22"/>
      <c r="I57" s="26" t="str">
        <f aca="false">IF(OR(G57="",H57="",G57=0),"",H57/G57)</f>
        <v/>
      </c>
      <c r="J57" s="22"/>
      <c r="K57" s="18" t="str">
        <f aca="false">IF(D57="","",IF(E57&lt;&gt;"","Completed",IF(D57&lt;Dashboard!$C$5,"Missed",IF(D57-Dashboard!$C$5&lt;=Lists!$R$5,"Due soon","Scheduled"))))</f>
        <v/>
      </c>
      <c r="L57" s="10"/>
    </row>
    <row r="58" customFormat="false" ht="15" hidden="false" customHeight="false" outlineLevel="0" collapsed="false">
      <c r="A58" s="10"/>
      <c r="B58" s="10"/>
      <c r="C58" s="10"/>
      <c r="D58" s="11"/>
      <c r="E58" s="11"/>
      <c r="F58" s="10"/>
      <c r="G58" s="22"/>
      <c r="H58" s="22"/>
      <c r="I58" s="26" t="str">
        <f aca="false">IF(OR(G58="",H58="",G58=0),"",H58/G58)</f>
        <v/>
      </c>
      <c r="J58" s="22"/>
      <c r="K58" s="18" t="str">
        <f aca="false">IF(D58="","",IF(E58&lt;&gt;"","Completed",IF(D58&lt;Dashboard!$C$5,"Missed",IF(D58-Dashboard!$C$5&lt;=Lists!$R$5,"Due soon","Scheduled"))))</f>
        <v/>
      </c>
      <c r="L58" s="10"/>
    </row>
    <row r="59" customFormat="false" ht="15" hidden="false" customHeight="false" outlineLevel="0" collapsed="false">
      <c r="A59" s="10"/>
      <c r="B59" s="10"/>
      <c r="C59" s="10"/>
      <c r="D59" s="11"/>
      <c r="E59" s="11"/>
      <c r="F59" s="10"/>
      <c r="G59" s="22"/>
      <c r="H59" s="22"/>
      <c r="I59" s="26" t="str">
        <f aca="false">IF(OR(G59="",H59="",G59=0),"",H59/G59)</f>
        <v/>
      </c>
      <c r="J59" s="22"/>
      <c r="K59" s="18" t="str">
        <f aca="false">IF(D59="","",IF(E59&lt;&gt;"","Completed",IF(D59&lt;Dashboard!$C$5,"Missed",IF(D59-Dashboard!$C$5&lt;=Lists!$R$5,"Due soon","Scheduled"))))</f>
        <v/>
      </c>
      <c r="L59" s="10"/>
    </row>
    <row r="60" customFormat="false" ht="15" hidden="false" customHeight="false" outlineLevel="0" collapsed="false">
      <c r="A60" s="10"/>
      <c r="B60" s="10"/>
      <c r="C60" s="10"/>
      <c r="D60" s="11"/>
      <c r="E60" s="11"/>
      <c r="F60" s="10"/>
      <c r="G60" s="22"/>
      <c r="H60" s="22"/>
      <c r="I60" s="26" t="str">
        <f aca="false">IF(OR(G60="",H60="",G60=0),"",H60/G60)</f>
        <v/>
      </c>
      <c r="J60" s="22"/>
      <c r="K60" s="18" t="str">
        <f aca="false">IF(D60="","",IF(E60&lt;&gt;"","Completed",IF(D60&lt;Dashboard!$C$5,"Missed",IF(D60-Dashboard!$C$5&lt;=Lists!$R$5,"Due soon","Scheduled"))))</f>
        <v/>
      </c>
      <c r="L60" s="10"/>
    </row>
    <row r="61" customFormat="false" ht="15" hidden="false" customHeight="false" outlineLevel="0" collapsed="false">
      <c r="A61" s="10"/>
      <c r="B61" s="10"/>
      <c r="C61" s="10"/>
      <c r="D61" s="11"/>
      <c r="E61" s="11"/>
      <c r="F61" s="10"/>
      <c r="G61" s="22"/>
      <c r="H61" s="22"/>
      <c r="I61" s="26" t="str">
        <f aca="false">IF(OR(G61="",H61="",G61=0),"",H61/G61)</f>
        <v/>
      </c>
      <c r="J61" s="22"/>
      <c r="K61" s="18" t="str">
        <f aca="false">IF(D61="","",IF(E61&lt;&gt;"","Completed",IF(D61&lt;Dashboard!$C$5,"Missed",IF(D61-Dashboard!$C$5&lt;=Lists!$R$5,"Due soon","Scheduled"))))</f>
        <v/>
      </c>
      <c r="L61" s="10"/>
    </row>
    <row r="62" customFormat="false" ht="15" hidden="false" customHeight="false" outlineLevel="0" collapsed="false">
      <c r="A62" s="10"/>
      <c r="B62" s="10"/>
      <c r="C62" s="10"/>
      <c r="D62" s="11"/>
      <c r="E62" s="11"/>
      <c r="F62" s="10"/>
      <c r="G62" s="22"/>
      <c r="H62" s="22"/>
      <c r="I62" s="26" t="str">
        <f aca="false">IF(OR(G62="",H62="",G62=0),"",H62/G62)</f>
        <v/>
      </c>
      <c r="J62" s="22"/>
      <c r="K62" s="18" t="str">
        <f aca="false">IF(D62="","",IF(E62&lt;&gt;"","Completed",IF(D62&lt;Dashboard!$C$5,"Missed",IF(D62-Dashboard!$C$5&lt;=Lists!$R$5,"Due soon","Scheduled"))))</f>
        <v/>
      </c>
      <c r="L62" s="10"/>
    </row>
    <row r="63" customFormat="false" ht="15" hidden="false" customHeight="false" outlineLevel="0" collapsed="false">
      <c r="A63" s="10"/>
      <c r="B63" s="10"/>
      <c r="C63" s="10"/>
      <c r="D63" s="11"/>
      <c r="E63" s="11"/>
      <c r="F63" s="10"/>
      <c r="G63" s="22"/>
      <c r="H63" s="22"/>
      <c r="I63" s="26" t="str">
        <f aca="false">IF(OR(G63="",H63="",G63=0),"",H63/G63)</f>
        <v/>
      </c>
      <c r="J63" s="22"/>
      <c r="K63" s="18" t="str">
        <f aca="false">IF(D63="","",IF(E63&lt;&gt;"","Completed",IF(D63&lt;Dashboard!$C$5,"Missed",IF(D63-Dashboard!$C$5&lt;=Lists!$R$5,"Due soon","Scheduled"))))</f>
        <v/>
      </c>
      <c r="L63" s="10"/>
    </row>
    <row r="64" customFormat="false" ht="15" hidden="false" customHeight="false" outlineLevel="0" collapsed="false">
      <c r="A64" s="10"/>
      <c r="B64" s="10"/>
      <c r="C64" s="10"/>
      <c r="D64" s="11"/>
      <c r="E64" s="11"/>
      <c r="F64" s="10"/>
      <c r="G64" s="22"/>
      <c r="H64" s="22"/>
      <c r="I64" s="26" t="str">
        <f aca="false">IF(OR(G64="",H64="",G64=0),"",H64/G64)</f>
        <v/>
      </c>
      <c r="J64" s="22"/>
      <c r="K64" s="18" t="str">
        <f aca="false">IF(D64="","",IF(E64&lt;&gt;"","Completed",IF(D64&lt;Dashboard!$C$5,"Missed",IF(D64-Dashboard!$C$5&lt;=Lists!$R$5,"Due soon","Scheduled"))))</f>
        <v/>
      </c>
      <c r="L64" s="10"/>
    </row>
    <row r="65" customFormat="false" ht="15" hidden="false" customHeight="false" outlineLevel="0" collapsed="false">
      <c r="A65" s="10"/>
      <c r="B65" s="10"/>
      <c r="C65" s="10"/>
      <c r="D65" s="11"/>
      <c r="E65" s="11"/>
      <c r="F65" s="10"/>
      <c r="G65" s="22"/>
      <c r="H65" s="22"/>
      <c r="I65" s="26" t="str">
        <f aca="false">IF(OR(G65="",H65="",G65=0),"",H65/G65)</f>
        <v/>
      </c>
      <c r="J65" s="22"/>
      <c r="K65" s="18" t="str">
        <f aca="false">IF(D65="","",IF(E65&lt;&gt;"","Completed",IF(D65&lt;Dashboard!$C$5,"Missed",IF(D65-Dashboard!$C$5&lt;=Lists!$R$5,"Due soon","Scheduled"))))</f>
        <v/>
      </c>
      <c r="L65" s="10"/>
    </row>
    <row r="66" customFormat="false" ht="15" hidden="false" customHeight="false" outlineLevel="0" collapsed="false">
      <c r="A66" s="10"/>
      <c r="B66" s="10"/>
      <c r="C66" s="10"/>
      <c r="D66" s="11"/>
      <c r="E66" s="11"/>
      <c r="F66" s="10"/>
      <c r="G66" s="22"/>
      <c r="H66" s="22"/>
      <c r="I66" s="26" t="str">
        <f aca="false">IF(OR(G66="",H66="",G66=0),"",H66/G66)</f>
        <v/>
      </c>
      <c r="J66" s="22"/>
      <c r="K66" s="18" t="str">
        <f aca="false">IF(D66="","",IF(E66&lt;&gt;"","Completed",IF(D66&lt;Dashboard!$C$5,"Missed",IF(D66-Dashboard!$C$5&lt;=Lists!$R$5,"Due soon","Scheduled"))))</f>
        <v/>
      </c>
      <c r="L66" s="10"/>
    </row>
    <row r="67" customFormat="false" ht="15" hidden="false" customHeight="false" outlineLevel="0" collapsed="false">
      <c r="A67" s="10"/>
      <c r="B67" s="10"/>
      <c r="C67" s="10"/>
      <c r="D67" s="11"/>
      <c r="E67" s="11"/>
      <c r="F67" s="10"/>
      <c r="G67" s="22"/>
      <c r="H67" s="22"/>
      <c r="I67" s="26" t="str">
        <f aca="false">IF(OR(G67="",H67="",G67=0),"",H67/G67)</f>
        <v/>
      </c>
      <c r="J67" s="22"/>
      <c r="K67" s="18" t="str">
        <f aca="false">IF(D67="","",IF(E67&lt;&gt;"","Completed",IF(D67&lt;Dashboard!$C$5,"Missed",IF(D67-Dashboard!$C$5&lt;=Lists!$R$5,"Due soon","Scheduled"))))</f>
        <v/>
      </c>
      <c r="L67" s="10"/>
    </row>
    <row r="68" customFormat="false" ht="15" hidden="false" customHeight="false" outlineLevel="0" collapsed="false">
      <c r="A68" s="10"/>
      <c r="B68" s="10"/>
      <c r="C68" s="10"/>
      <c r="D68" s="11"/>
      <c r="E68" s="11"/>
      <c r="F68" s="10"/>
      <c r="G68" s="22"/>
      <c r="H68" s="22"/>
      <c r="I68" s="26" t="str">
        <f aca="false">IF(OR(G68="",H68="",G68=0),"",H68/G68)</f>
        <v/>
      </c>
      <c r="J68" s="22"/>
      <c r="K68" s="18" t="str">
        <f aca="false">IF(D68="","",IF(E68&lt;&gt;"","Completed",IF(D68&lt;Dashboard!$C$5,"Missed",IF(D68-Dashboard!$C$5&lt;=Lists!$R$5,"Due soon","Scheduled"))))</f>
        <v/>
      </c>
      <c r="L68" s="10"/>
    </row>
    <row r="69" customFormat="false" ht="15" hidden="false" customHeight="false" outlineLevel="0" collapsed="false">
      <c r="A69" s="10"/>
      <c r="B69" s="10"/>
      <c r="C69" s="10"/>
      <c r="D69" s="11"/>
      <c r="E69" s="11"/>
      <c r="F69" s="10"/>
      <c r="G69" s="22"/>
      <c r="H69" s="22"/>
      <c r="I69" s="26" t="str">
        <f aca="false">IF(OR(G69="",H69="",G69=0),"",H69/G69)</f>
        <v/>
      </c>
      <c r="J69" s="22"/>
      <c r="K69" s="18" t="str">
        <f aca="false">IF(D69="","",IF(E69&lt;&gt;"","Completed",IF(D69&lt;Dashboard!$C$5,"Missed",IF(D69-Dashboard!$C$5&lt;=Lists!$R$5,"Due soon","Scheduled"))))</f>
        <v/>
      </c>
      <c r="L69" s="10"/>
    </row>
    <row r="70" customFormat="false" ht="15" hidden="false" customHeight="false" outlineLevel="0" collapsed="false">
      <c r="A70" s="10"/>
      <c r="B70" s="10"/>
      <c r="C70" s="10"/>
      <c r="D70" s="11"/>
      <c r="E70" s="11"/>
      <c r="F70" s="10"/>
      <c r="G70" s="22"/>
      <c r="H70" s="22"/>
      <c r="I70" s="26" t="str">
        <f aca="false">IF(OR(G70="",H70="",G70=0),"",H70/G70)</f>
        <v/>
      </c>
      <c r="J70" s="22"/>
      <c r="K70" s="18" t="str">
        <f aca="false">IF(D70="","",IF(E70&lt;&gt;"","Completed",IF(D70&lt;Dashboard!$C$5,"Missed",IF(D70-Dashboard!$C$5&lt;=Lists!$R$5,"Due soon","Scheduled"))))</f>
        <v/>
      </c>
      <c r="L70" s="10"/>
    </row>
    <row r="71" customFormat="false" ht="15" hidden="false" customHeight="false" outlineLevel="0" collapsed="false">
      <c r="A71" s="10"/>
      <c r="B71" s="10"/>
      <c r="C71" s="10"/>
      <c r="D71" s="11"/>
      <c r="E71" s="11"/>
      <c r="F71" s="10"/>
      <c r="G71" s="22"/>
      <c r="H71" s="22"/>
      <c r="I71" s="26" t="str">
        <f aca="false">IF(OR(G71="",H71="",G71=0),"",H71/G71)</f>
        <v/>
      </c>
      <c r="J71" s="22"/>
      <c r="K71" s="18" t="str">
        <f aca="false">IF(D71="","",IF(E71&lt;&gt;"","Completed",IF(D71&lt;Dashboard!$C$5,"Missed",IF(D71-Dashboard!$C$5&lt;=Lists!$R$5,"Due soon","Scheduled"))))</f>
        <v/>
      </c>
      <c r="L71" s="10"/>
    </row>
    <row r="72" customFormat="false" ht="15" hidden="false" customHeight="false" outlineLevel="0" collapsed="false">
      <c r="A72" s="10"/>
      <c r="B72" s="10"/>
      <c r="C72" s="10"/>
      <c r="D72" s="11"/>
      <c r="E72" s="11"/>
      <c r="F72" s="10"/>
      <c r="G72" s="22"/>
      <c r="H72" s="22"/>
      <c r="I72" s="26" t="str">
        <f aca="false">IF(OR(G72="",H72="",G72=0),"",H72/G72)</f>
        <v/>
      </c>
      <c r="J72" s="22"/>
      <c r="K72" s="18" t="str">
        <f aca="false">IF(D72="","",IF(E72&lt;&gt;"","Completed",IF(D72&lt;Dashboard!$C$5,"Missed",IF(D72-Dashboard!$C$5&lt;=Lists!$R$5,"Due soon","Scheduled"))))</f>
        <v/>
      </c>
      <c r="L72" s="10"/>
    </row>
    <row r="73" customFormat="false" ht="15" hidden="false" customHeight="false" outlineLevel="0" collapsed="false">
      <c r="A73" s="10"/>
      <c r="B73" s="10"/>
      <c r="C73" s="10"/>
      <c r="D73" s="11"/>
      <c r="E73" s="11"/>
      <c r="F73" s="10"/>
      <c r="G73" s="22"/>
      <c r="H73" s="22"/>
      <c r="I73" s="26" t="str">
        <f aca="false">IF(OR(G73="",H73="",G73=0),"",H73/G73)</f>
        <v/>
      </c>
      <c r="J73" s="22"/>
      <c r="K73" s="18" t="str">
        <f aca="false">IF(D73="","",IF(E73&lt;&gt;"","Completed",IF(D73&lt;Dashboard!$C$5,"Missed",IF(D73-Dashboard!$C$5&lt;=Lists!$R$5,"Due soon","Scheduled"))))</f>
        <v/>
      </c>
      <c r="L73" s="10"/>
    </row>
    <row r="74" customFormat="false" ht="15" hidden="false" customHeight="false" outlineLevel="0" collapsed="false">
      <c r="A74" s="10"/>
      <c r="B74" s="10"/>
      <c r="C74" s="10"/>
      <c r="D74" s="11"/>
      <c r="E74" s="11"/>
      <c r="F74" s="10"/>
      <c r="G74" s="22"/>
      <c r="H74" s="22"/>
      <c r="I74" s="26" t="str">
        <f aca="false">IF(OR(G74="",H74="",G74=0),"",H74/G74)</f>
        <v/>
      </c>
      <c r="J74" s="22"/>
      <c r="K74" s="18" t="str">
        <f aca="false">IF(D74="","",IF(E74&lt;&gt;"","Completed",IF(D74&lt;Dashboard!$C$5,"Missed",IF(D74-Dashboard!$C$5&lt;=Lists!$R$5,"Due soon","Scheduled"))))</f>
        <v/>
      </c>
      <c r="L74" s="10"/>
    </row>
    <row r="75" customFormat="false" ht="15" hidden="false" customHeight="false" outlineLevel="0" collapsed="false">
      <c r="A75" s="10"/>
      <c r="B75" s="10"/>
      <c r="C75" s="10"/>
      <c r="D75" s="11"/>
      <c r="E75" s="11"/>
      <c r="F75" s="10"/>
      <c r="G75" s="22"/>
      <c r="H75" s="22"/>
      <c r="I75" s="26" t="str">
        <f aca="false">IF(OR(G75="",H75="",G75=0),"",H75/G75)</f>
        <v/>
      </c>
      <c r="J75" s="22"/>
      <c r="K75" s="18" t="str">
        <f aca="false">IF(D75="","",IF(E75&lt;&gt;"","Completed",IF(D75&lt;Dashboard!$C$5,"Missed",IF(D75-Dashboard!$C$5&lt;=Lists!$R$5,"Due soon","Scheduled"))))</f>
        <v/>
      </c>
      <c r="L75" s="10"/>
    </row>
    <row r="76" customFormat="false" ht="15" hidden="false" customHeight="false" outlineLevel="0" collapsed="false">
      <c r="A76" s="10"/>
      <c r="B76" s="10"/>
      <c r="C76" s="10"/>
      <c r="D76" s="11"/>
      <c r="E76" s="11"/>
      <c r="F76" s="10"/>
      <c r="G76" s="22"/>
      <c r="H76" s="22"/>
      <c r="I76" s="26" t="str">
        <f aca="false">IF(OR(G76="",H76="",G76=0),"",H76/G76)</f>
        <v/>
      </c>
      <c r="J76" s="22"/>
      <c r="K76" s="18" t="str">
        <f aca="false">IF(D76="","",IF(E76&lt;&gt;"","Completed",IF(D76&lt;Dashboard!$C$5,"Missed",IF(D76-Dashboard!$C$5&lt;=Lists!$R$5,"Due soon","Scheduled"))))</f>
        <v/>
      </c>
      <c r="L76" s="10"/>
    </row>
    <row r="77" customFormat="false" ht="15" hidden="false" customHeight="false" outlineLevel="0" collapsed="false">
      <c r="A77" s="10"/>
      <c r="B77" s="10"/>
      <c r="C77" s="10"/>
      <c r="D77" s="11"/>
      <c r="E77" s="11"/>
      <c r="F77" s="10"/>
      <c r="G77" s="22"/>
      <c r="H77" s="22"/>
      <c r="I77" s="26" t="str">
        <f aca="false">IF(OR(G77="",H77="",G77=0),"",H77/G77)</f>
        <v/>
      </c>
      <c r="J77" s="22"/>
      <c r="K77" s="18" t="str">
        <f aca="false">IF(D77="","",IF(E77&lt;&gt;"","Completed",IF(D77&lt;Dashboard!$C$5,"Missed",IF(D77-Dashboard!$C$5&lt;=Lists!$R$5,"Due soon","Scheduled"))))</f>
        <v/>
      </c>
      <c r="L77" s="10"/>
    </row>
    <row r="78" customFormat="false" ht="15" hidden="false" customHeight="false" outlineLevel="0" collapsed="false">
      <c r="A78" s="10"/>
      <c r="B78" s="10"/>
      <c r="C78" s="10"/>
      <c r="D78" s="11"/>
      <c r="E78" s="11"/>
      <c r="F78" s="10"/>
      <c r="G78" s="22"/>
      <c r="H78" s="22"/>
      <c r="I78" s="26" t="str">
        <f aca="false">IF(OR(G78="",H78="",G78=0),"",H78/G78)</f>
        <v/>
      </c>
      <c r="J78" s="22"/>
      <c r="K78" s="18" t="str">
        <f aca="false">IF(D78="","",IF(E78&lt;&gt;"","Completed",IF(D78&lt;Dashboard!$C$5,"Missed",IF(D78-Dashboard!$C$5&lt;=Lists!$R$5,"Due soon","Scheduled"))))</f>
        <v/>
      </c>
      <c r="L78" s="10"/>
    </row>
    <row r="79" customFormat="false" ht="15" hidden="false" customHeight="false" outlineLevel="0" collapsed="false">
      <c r="A79" s="10"/>
      <c r="B79" s="10"/>
      <c r="C79" s="10"/>
      <c r="D79" s="11"/>
      <c r="E79" s="11"/>
      <c r="F79" s="10"/>
      <c r="G79" s="22"/>
      <c r="H79" s="22"/>
      <c r="I79" s="26" t="str">
        <f aca="false">IF(OR(G79="",H79="",G79=0),"",H79/G79)</f>
        <v/>
      </c>
      <c r="J79" s="22"/>
      <c r="K79" s="18" t="str">
        <f aca="false">IF(D79="","",IF(E79&lt;&gt;"","Completed",IF(D79&lt;Dashboard!$C$5,"Missed",IF(D79-Dashboard!$C$5&lt;=Lists!$R$5,"Due soon","Scheduled"))))</f>
        <v/>
      </c>
      <c r="L79" s="10"/>
    </row>
    <row r="80" customFormat="false" ht="15" hidden="false" customHeight="false" outlineLevel="0" collapsed="false">
      <c r="A80" s="10"/>
      <c r="B80" s="10"/>
      <c r="C80" s="10"/>
      <c r="D80" s="11"/>
      <c r="E80" s="11"/>
      <c r="F80" s="10"/>
      <c r="G80" s="22"/>
      <c r="H80" s="22"/>
      <c r="I80" s="26" t="str">
        <f aca="false">IF(OR(G80="",H80="",G80=0),"",H80/G80)</f>
        <v/>
      </c>
      <c r="J80" s="22"/>
      <c r="K80" s="18" t="str">
        <f aca="false">IF(D80="","",IF(E80&lt;&gt;"","Completed",IF(D80&lt;Dashboard!$C$5,"Missed",IF(D80-Dashboard!$C$5&lt;=Lists!$R$5,"Due soon","Scheduled"))))</f>
        <v/>
      </c>
      <c r="L80" s="10"/>
    </row>
    <row r="81" customFormat="false" ht="15" hidden="false" customHeight="false" outlineLevel="0" collapsed="false">
      <c r="A81" s="10"/>
      <c r="B81" s="10"/>
      <c r="C81" s="10"/>
      <c r="D81" s="11"/>
      <c r="E81" s="11"/>
      <c r="F81" s="10"/>
      <c r="G81" s="22"/>
      <c r="H81" s="22"/>
      <c r="I81" s="26" t="str">
        <f aca="false">IF(OR(G81="",H81="",G81=0),"",H81/G81)</f>
        <v/>
      </c>
      <c r="J81" s="22"/>
      <c r="K81" s="18" t="str">
        <f aca="false">IF(D81="","",IF(E81&lt;&gt;"","Completed",IF(D81&lt;Dashboard!$C$5,"Missed",IF(D81-Dashboard!$C$5&lt;=Lists!$R$5,"Due soon","Scheduled"))))</f>
        <v/>
      </c>
      <c r="L81" s="10"/>
    </row>
    <row r="82" customFormat="false" ht="15" hidden="false" customHeight="false" outlineLevel="0" collapsed="false">
      <c r="A82" s="10"/>
      <c r="B82" s="10"/>
      <c r="C82" s="10"/>
      <c r="D82" s="11"/>
      <c r="E82" s="11"/>
      <c r="F82" s="10"/>
      <c r="G82" s="22"/>
      <c r="H82" s="22"/>
      <c r="I82" s="26" t="str">
        <f aca="false">IF(OR(G82="",H82="",G82=0),"",H82/G82)</f>
        <v/>
      </c>
      <c r="J82" s="22"/>
      <c r="K82" s="18" t="str">
        <f aca="false">IF(D82="","",IF(E82&lt;&gt;"","Completed",IF(D82&lt;Dashboard!$C$5,"Missed",IF(D82-Dashboard!$C$5&lt;=Lists!$R$5,"Due soon","Scheduled"))))</f>
        <v/>
      </c>
      <c r="L82" s="10"/>
    </row>
    <row r="83" customFormat="false" ht="15" hidden="false" customHeight="false" outlineLevel="0" collapsed="false">
      <c r="A83" s="10"/>
      <c r="B83" s="10"/>
      <c r="C83" s="10"/>
      <c r="D83" s="11"/>
      <c r="E83" s="11"/>
      <c r="F83" s="10"/>
      <c r="G83" s="22"/>
      <c r="H83" s="22"/>
      <c r="I83" s="26" t="str">
        <f aca="false">IF(OR(G83="",H83="",G83=0),"",H83/G83)</f>
        <v/>
      </c>
      <c r="J83" s="22"/>
      <c r="K83" s="18" t="str">
        <f aca="false">IF(D83="","",IF(E83&lt;&gt;"","Completed",IF(D83&lt;Dashboard!$C$5,"Missed",IF(D83-Dashboard!$C$5&lt;=Lists!$R$5,"Due soon","Scheduled"))))</f>
        <v/>
      </c>
      <c r="L83" s="10"/>
    </row>
    <row r="84" customFormat="false" ht="15" hidden="false" customHeight="false" outlineLevel="0" collapsed="false">
      <c r="A84" s="10"/>
      <c r="B84" s="10"/>
      <c r="C84" s="10"/>
      <c r="D84" s="11"/>
      <c r="E84" s="11"/>
      <c r="F84" s="10"/>
      <c r="G84" s="22"/>
      <c r="H84" s="22"/>
      <c r="I84" s="26" t="str">
        <f aca="false">IF(OR(G84="",H84="",G84=0),"",H84/G84)</f>
        <v/>
      </c>
      <c r="J84" s="22"/>
      <c r="K84" s="18" t="str">
        <f aca="false">IF(D84="","",IF(E84&lt;&gt;"","Completed",IF(D84&lt;Dashboard!$C$5,"Missed",IF(D84-Dashboard!$C$5&lt;=Lists!$R$5,"Due soon","Scheduled"))))</f>
        <v/>
      </c>
      <c r="L84" s="10"/>
    </row>
    <row r="85" customFormat="false" ht="15" hidden="false" customHeight="false" outlineLevel="0" collapsed="false">
      <c r="A85" s="10"/>
      <c r="B85" s="10"/>
      <c r="C85" s="10"/>
      <c r="D85" s="11"/>
      <c r="E85" s="11"/>
      <c r="F85" s="10"/>
      <c r="G85" s="22"/>
      <c r="H85" s="22"/>
      <c r="I85" s="26" t="str">
        <f aca="false">IF(OR(G85="",H85="",G85=0),"",H85/G85)</f>
        <v/>
      </c>
      <c r="J85" s="22"/>
      <c r="K85" s="18" t="str">
        <f aca="false">IF(D85="","",IF(E85&lt;&gt;"","Completed",IF(D85&lt;Dashboard!$C$5,"Missed",IF(D85-Dashboard!$C$5&lt;=Lists!$R$5,"Due soon","Scheduled"))))</f>
        <v/>
      </c>
      <c r="L85" s="10"/>
    </row>
    <row r="86" customFormat="false" ht="15" hidden="false" customHeight="false" outlineLevel="0" collapsed="false">
      <c r="A86" s="10"/>
      <c r="B86" s="10"/>
      <c r="C86" s="10"/>
      <c r="D86" s="11"/>
      <c r="E86" s="11"/>
      <c r="F86" s="10"/>
      <c r="G86" s="22"/>
      <c r="H86" s="22"/>
      <c r="I86" s="26" t="str">
        <f aca="false">IF(OR(G86="",H86="",G86=0),"",H86/G86)</f>
        <v/>
      </c>
      <c r="J86" s="22"/>
      <c r="K86" s="18" t="str">
        <f aca="false">IF(D86="","",IF(E86&lt;&gt;"","Completed",IF(D86&lt;Dashboard!$C$5,"Missed",IF(D86-Dashboard!$C$5&lt;=Lists!$R$5,"Due soon","Scheduled"))))</f>
        <v/>
      </c>
      <c r="L86" s="10"/>
    </row>
    <row r="87" customFormat="false" ht="15" hidden="false" customHeight="false" outlineLevel="0" collapsed="false">
      <c r="A87" s="10"/>
      <c r="B87" s="10"/>
      <c r="C87" s="10"/>
      <c r="D87" s="11"/>
      <c r="E87" s="11"/>
      <c r="F87" s="10"/>
      <c r="G87" s="22"/>
      <c r="H87" s="22"/>
      <c r="I87" s="26" t="str">
        <f aca="false">IF(OR(G87="",H87="",G87=0),"",H87/G87)</f>
        <v/>
      </c>
      <c r="J87" s="22"/>
      <c r="K87" s="18" t="str">
        <f aca="false">IF(D87="","",IF(E87&lt;&gt;"","Completed",IF(D87&lt;Dashboard!$C$5,"Missed",IF(D87-Dashboard!$C$5&lt;=Lists!$R$5,"Due soon","Scheduled"))))</f>
        <v/>
      </c>
      <c r="L87" s="10"/>
    </row>
    <row r="88" customFormat="false" ht="15" hidden="false" customHeight="false" outlineLevel="0" collapsed="false">
      <c r="A88" s="10"/>
      <c r="B88" s="10"/>
      <c r="C88" s="10"/>
      <c r="D88" s="11"/>
      <c r="E88" s="11"/>
      <c r="F88" s="10"/>
      <c r="G88" s="22"/>
      <c r="H88" s="22"/>
      <c r="I88" s="26" t="str">
        <f aca="false">IF(OR(G88="",H88="",G88=0),"",H88/G88)</f>
        <v/>
      </c>
      <c r="J88" s="22"/>
      <c r="K88" s="18" t="str">
        <f aca="false">IF(D88="","",IF(E88&lt;&gt;"","Completed",IF(D88&lt;Dashboard!$C$5,"Missed",IF(D88-Dashboard!$C$5&lt;=Lists!$R$5,"Due soon","Scheduled"))))</f>
        <v/>
      </c>
      <c r="L88" s="10"/>
    </row>
    <row r="89" customFormat="false" ht="15" hidden="false" customHeight="false" outlineLevel="0" collapsed="false">
      <c r="A89" s="10"/>
      <c r="B89" s="10"/>
      <c r="C89" s="10"/>
      <c r="D89" s="11"/>
      <c r="E89" s="11"/>
      <c r="F89" s="10"/>
      <c r="G89" s="22"/>
      <c r="H89" s="22"/>
      <c r="I89" s="26" t="str">
        <f aca="false">IF(OR(G89="",H89="",G89=0),"",H89/G89)</f>
        <v/>
      </c>
      <c r="J89" s="22"/>
      <c r="K89" s="18" t="str">
        <f aca="false">IF(D89="","",IF(E89&lt;&gt;"","Completed",IF(D89&lt;Dashboard!$C$5,"Missed",IF(D89-Dashboard!$C$5&lt;=Lists!$R$5,"Due soon","Scheduled"))))</f>
        <v/>
      </c>
      <c r="L89" s="10"/>
    </row>
    <row r="90" customFormat="false" ht="15" hidden="false" customHeight="false" outlineLevel="0" collapsed="false">
      <c r="A90" s="10"/>
      <c r="B90" s="10"/>
      <c r="C90" s="10"/>
      <c r="D90" s="11"/>
      <c r="E90" s="11"/>
      <c r="F90" s="10"/>
      <c r="G90" s="22"/>
      <c r="H90" s="22"/>
      <c r="I90" s="26" t="str">
        <f aca="false">IF(OR(G90="",H90="",G90=0),"",H90/G90)</f>
        <v/>
      </c>
      <c r="J90" s="22"/>
      <c r="K90" s="18" t="str">
        <f aca="false">IF(D90="","",IF(E90&lt;&gt;"","Completed",IF(D90&lt;Dashboard!$C$5,"Missed",IF(D90-Dashboard!$C$5&lt;=Lists!$R$5,"Due soon","Scheduled"))))</f>
        <v/>
      </c>
      <c r="L90" s="10"/>
    </row>
    <row r="91" customFormat="false" ht="15" hidden="false" customHeight="false" outlineLevel="0" collapsed="false">
      <c r="A91" s="10"/>
      <c r="B91" s="10"/>
      <c r="C91" s="10"/>
      <c r="D91" s="11"/>
      <c r="E91" s="11"/>
      <c r="F91" s="10"/>
      <c r="G91" s="22"/>
      <c r="H91" s="22"/>
      <c r="I91" s="26" t="str">
        <f aca="false">IF(OR(G91="",H91="",G91=0),"",H91/G91)</f>
        <v/>
      </c>
      <c r="J91" s="22"/>
      <c r="K91" s="18" t="str">
        <f aca="false">IF(D91="","",IF(E91&lt;&gt;"","Completed",IF(D91&lt;Dashboard!$C$5,"Missed",IF(D91-Dashboard!$C$5&lt;=Lists!$R$5,"Due soon","Scheduled"))))</f>
        <v/>
      </c>
      <c r="L91" s="10"/>
    </row>
    <row r="92" customFormat="false" ht="15" hidden="false" customHeight="false" outlineLevel="0" collapsed="false">
      <c r="A92" s="10"/>
      <c r="B92" s="10"/>
      <c r="C92" s="10"/>
      <c r="D92" s="11"/>
      <c r="E92" s="11"/>
      <c r="F92" s="10"/>
      <c r="G92" s="22"/>
      <c r="H92" s="22"/>
      <c r="I92" s="26" t="str">
        <f aca="false">IF(OR(G92="",H92="",G92=0),"",H92/G92)</f>
        <v/>
      </c>
      <c r="J92" s="22"/>
      <c r="K92" s="18" t="str">
        <f aca="false">IF(D92="","",IF(E92&lt;&gt;"","Completed",IF(D92&lt;Dashboard!$C$5,"Missed",IF(D92-Dashboard!$C$5&lt;=Lists!$R$5,"Due soon","Scheduled"))))</f>
        <v/>
      </c>
      <c r="L92" s="10"/>
    </row>
    <row r="93" customFormat="false" ht="15" hidden="false" customHeight="false" outlineLevel="0" collapsed="false">
      <c r="A93" s="10"/>
      <c r="B93" s="10"/>
      <c r="C93" s="10"/>
      <c r="D93" s="11"/>
      <c r="E93" s="11"/>
      <c r="F93" s="10"/>
      <c r="G93" s="22"/>
      <c r="H93" s="22"/>
      <c r="I93" s="26" t="str">
        <f aca="false">IF(OR(G93="",H93="",G93=0),"",H93/G93)</f>
        <v/>
      </c>
      <c r="J93" s="22"/>
      <c r="K93" s="18" t="str">
        <f aca="false">IF(D93="","",IF(E93&lt;&gt;"","Completed",IF(D93&lt;Dashboard!$C$5,"Missed",IF(D93-Dashboard!$C$5&lt;=Lists!$R$5,"Due soon","Scheduled"))))</f>
        <v/>
      </c>
      <c r="L93" s="10"/>
    </row>
    <row r="94" customFormat="false" ht="15" hidden="false" customHeight="false" outlineLevel="0" collapsed="false">
      <c r="A94" s="10"/>
      <c r="B94" s="10"/>
      <c r="C94" s="10"/>
      <c r="D94" s="11"/>
      <c r="E94" s="11"/>
      <c r="F94" s="10"/>
      <c r="G94" s="22"/>
      <c r="H94" s="22"/>
      <c r="I94" s="26" t="str">
        <f aca="false">IF(OR(G94="",H94="",G94=0),"",H94/G94)</f>
        <v/>
      </c>
      <c r="J94" s="22"/>
      <c r="K94" s="18" t="str">
        <f aca="false">IF(D94="","",IF(E94&lt;&gt;"","Completed",IF(D94&lt;Dashboard!$C$5,"Missed",IF(D94-Dashboard!$C$5&lt;=Lists!$R$5,"Due soon","Scheduled"))))</f>
        <v/>
      </c>
      <c r="L94" s="10"/>
    </row>
    <row r="95" customFormat="false" ht="15" hidden="false" customHeight="false" outlineLevel="0" collapsed="false">
      <c r="A95" s="10"/>
      <c r="B95" s="10"/>
      <c r="C95" s="10"/>
      <c r="D95" s="11"/>
      <c r="E95" s="11"/>
      <c r="F95" s="10"/>
      <c r="G95" s="22"/>
      <c r="H95" s="22"/>
      <c r="I95" s="26" t="str">
        <f aca="false">IF(OR(G95="",H95="",G95=0),"",H95/G95)</f>
        <v/>
      </c>
      <c r="J95" s="22"/>
      <c r="K95" s="18" t="str">
        <f aca="false">IF(D95="","",IF(E95&lt;&gt;"","Completed",IF(D95&lt;Dashboard!$C$5,"Missed",IF(D95-Dashboard!$C$5&lt;=Lists!$R$5,"Due soon","Scheduled"))))</f>
        <v/>
      </c>
      <c r="L95" s="10"/>
    </row>
    <row r="96" customFormat="false" ht="15" hidden="false" customHeight="false" outlineLevel="0" collapsed="false">
      <c r="A96" s="10"/>
      <c r="B96" s="10"/>
      <c r="C96" s="10"/>
      <c r="D96" s="11"/>
      <c r="E96" s="11"/>
      <c r="F96" s="10"/>
      <c r="G96" s="22"/>
      <c r="H96" s="22"/>
      <c r="I96" s="26" t="str">
        <f aca="false">IF(OR(G96="",H96="",G96=0),"",H96/G96)</f>
        <v/>
      </c>
      <c r="J96" s="22"/>
      <c r="K96" s="18" t="str">
        <f aca="false">IF(D96="","",IF(E96&lt;&gt;"","Completed",IF(D96&lt;Dashboard!$C$5,"Missed",IF(D96-Dashboard!$C$5&lt;=Lists!$R$5,"Due soon","Scheduled"))))</f>
        <v/>
      </c>
      <c r="L96" s="10"/>
    </row>
    <row r="97" customFormat="false" ht="15" hidden="false" customHeight="false" outlineLevel="0" collapsed="false">
      <c r="A97" s="10"/>
      <c r="B97" s="10"/>
      <c r="C97" s="10"/>
      <c r="D97" s="11"/>
      <c r="E97" s="11"/>
      <c r="F97" s="10"/>
      <c r="G97" s="22"/>
      <c r="H97" s="22"/>
      <c r="I97" s="26" t="str">
        <f aca="false">IF(OR(G97="",H97="",G97=0),"",H97/G97)</f>
        <v/>
      </c>
      <c r="J97" s="22"/>
      <c r="K97" s="18" t="str">
        <f aca="false">IF(D97="","",IF(E97&lt;&gt;"","Completed",IF(D97&lt;Dashboard!$C$5,"Missed",IF(D97-Dashboard!$C$5&lt;=Lists!$R$5,"Due soon","Scheduled"))))</f>
        <v/>
      </c>
      <c r="L97" s="10"/>
    </row>
    <row r="98" customFormat="false" ht="15" hidden="false" customHeight="false" outlineLevel="0" collapsed="false">
      <c r="A98" s="10"/>
      <c r="B98" s="10"/>
      <c r="C98" s="10"/>
      <c r="D98" s="11"/>
      <c r="E98" s="11"/>
      <c r="F98" s="10"/>
      <c r="G98" s="22"/>
      <c r="H98" s="22"/>
      <c r="I98" s="26" t="str">
        <f aca="false">IF(OR(G98="",H98="",G98=0),"",H98/G98)</f>
        <v/>
      </c>
      <c r="J98" s="22"/>
      <c r="K98" s="18" t="str">
        <f aca="false">IF(D98="","",IF(E98&lt;&gt;"","Completed",IF(D98&lt;Dashboard!$C$5,"Missed",IF(D98-Dashboard!$C$5&lt;=Lists!$R$5,"Due soon","Scheduled"))))</f>
        <v/>
      </c>
      <c r="L98" s="10"/>
    </row>
    <row r="99" customFormat="false" ht="15" hidden="false" customHeight="false" outlineLevel="0" collapsed="false">
      <c r="A99" s="10"/>
      <c r="B99" s="10"/>
      <c r="C99" s="10"/>
      <c r="D99" s="11"/>
      <c r="E99" s="11"/>
      <c r="F99" s="10"/>
      <c r="G99" s="22"/>
      <c r="H99" s="22"/>
      <c r="I99" s="26" t="str">
        <f aca="false">IF(OR(G99="",H99="",G99=0),"",H99/G99)</f>
        <v/>
      </c>
      <c r="J99" s="22"/>
      <c r="K99" s="18" t="str">
        <f aca="false">IF(D99="","",IF(E99&lt;&gt;"","Completed",IF(D99&lt;Dashboard!$C$5,"Missed",IF(D99-Dashboard!$C$5&lt;=Lists!$R$5,"Due soon","Scheduled"))))</f>
        <v/>
      </c>
      <c r="L99" s="10"/>
    </row>
    <row r="100" customFormat="false" ht="15" hidden="false" customHeight="false" outlineLevel="0" collapsed="false">
      <c r="A100" s="10"/>
      <c r="B100" s="10"/>
      <c r="C100" s="10"/>
      <c r="D100" s="11"/>
      <c r="E100" s="11"/>
      <c r="F100" s="10"/>
      <c r="G100" s="22"/>
      <c r="H100" s="22"/>
      <c r="I100" s="26" t="str">
        <f aca="false">IF(OR(G100="",H100="",G100=0),"",H100/G100)</f>
        <v/>
      </c>
      <c r="J100" s="22"/>
      <c r="K100" s="18" t="str">
        <f aca="false">IF(D100="","",IF(E100&lt;&gt;"","Completed",IF(D100&lt;Dashboard!$C$5,"Missed",IF(D100-Dashboard!$C$5&lt;=Lists!$R$5,"Due soon","Scheduled"))))</f>
        <v/>
      </c>
      <c r="L100" s="10"/>
    </row>
    <row r="101" customFormat="false" ht="15" hidden="false" customHeight="false" outlineLevel="0" collapsed="false">
      <c r="A101" s="10"/>
      <c r="B101" s="10"/>
      <c r="C101" s="10"/>
      <c r="D101" s="11"/>
      <c r="E101" s="11"/>
      <c r="F101" s="10"/>
      <c r="G101" s="22"/>
      <c r="H101" s="22"/>
      <c r="I101" s="26" t="str">
        <f aca="false">IF(OR(G101="",H101="",G101=0),"",H101/G101)</f>
        <v/>
      </c>
      <c r="J101" s="22"/>
      <c r="K101" s="18" t="str">
        <f aca="false">IF(D101="","",IF(E101&lt;&gt;"","Completed",IF(D101&lt;Dashboard!$C$5,"Missed",IF(D101-Dashboard!$C$5&lt;=Lists!$R$5,"Due soon","Scheduled"))))</f>
        <v/>
      </c>
      <c r="L101" s="10"/>
    </row>
    <row r="102" customFormat="false" ht="15" hidden="false" customHeight="false" outlineLevel="0" collapsed="false">
      <c r="A102" s="10"/>
      <c r="B102" s="10"/>
      <c r="C102" s="10"/>
      <c r="D102" s="11"/>
      <c r="E102" s="11"/>
      <c r="F102" s="10"/>
      <c r="G102" s="22"/>
      <c r="H102" s="22"/>
      <c r="I102" s="26" t="str">
        <f aca="false">IF(OR(G102="",H102="",G102=0),"",H102/G102)</f>
        <v/>
      </c>
      <c r="J102" s="22"/>
      <c r="K102" s="18" t="str">
        <f aca="false">IF(D102="","",IF(E102&lt;&gt;"","Completed",IF(D102&lt;Dashboard!$C$5,"Missed",IF(D102-Dashboard!$C$5&lt;=Lists!$R$5,"Due soon","Scheduled"))))</f>
        <v/>
      </c>
      <c r="L102" s="10"/>
    </row>
    <row r="103" customFormat="false" ht="15" hidden="false" customHeight="false" outlineLevel="0" collapsed="false">
      <c r="A103" s="10"/>
      <c r="B103" s="10"/>
      <c r="C103" s="10"/>
      <c r="D103" s="11"/>
      <c r="E103" s="11"/>
      <c r="F103" s="10"/>
      <c r="G103" s="22"/>
      <c r="H103" s="22"/>
      <c r="I103" s="26" t="str">
        <f aca="false">IF(OR(G103="",H103="",G103=0),"",H103/G103)</f>
        <v/>
      </c>
      <c r="J103" s="22"/>
      <c r="K103" s="18" t="str">
        <f aca="false">IF(D103="","",IF(E103&lt;&gt;"","Completed",IF(D103&lt;Dashboard!$C$5,"Missed",IF(D103-Dashboard!$C$5&lt;=Lists!$R$5,"Due soon","Scheduled"))))</f>
        <v/>
      </c>
      <c r="L103" s="10"/>
    </row>
    <row r="104" customFormat="false" ht="15" hidden="false" customHeight="false" outlineLevel="0" collapsed="false">
      <c r="A104" s="10"/>
      <c r="B104" s="10"/>
      <c r="C104" s="10"/>
      <c r="D104" s="11"/>
      <c r="E104" s="11"/>
      <c r="F104" s="10"/>
      <c r="G104" s="22"/>
      <c r="H104" s="22"/>
      <c r="I104" s="26" t="str">
        <f aca="false">IF(OR(G104="",H104="",G104=0),"",H104/G104)</f>
        <v/>
      </c>
      <c r="J104" s="22"/>
      <c r="K104" s="18" t="str">
        <f aca="false">IF(D104="","",IF(E104&lt;&gt;"","Completed",IF(D104&lt;Dashboard!$C$5,"Missed",IF(D104-Dashboard!$C$5&lt;=Lists!$R$5,"Due soon","Scheduled"))))</f>
        <v/>
      </c>
      <c r="L104" s="10"/>
    </row>
    <row r="105" customFormat="false" ht="15" hidden="false" customHeight="false" outlineLevel="0" collapsed="false">
      <c r="A105" s="10"/>
      <c r="B105" s="10"/>
      <c r="C105" s="10"/>
      <c r="D105" s="11"/>
      <c r="E105" s="11"/>
      <c r="F105" s="10"/>
      <c r="G105" s="22"/>
      <c r="H105" s="22"/>
      <c r="I105" s="26" t="str">
        <f aca="false">IF(OR(G105="",H105="",G105=0),"",H105/G105)</f>
        <v/>
      </c>
      <c r="J105" s="22"/>
      <c r="K105" s="18" t="str">
        <f aca="false">IF(D105="","",IF(E105&lt;&gt;"","Completed",IF(D105&lt;Dashboard!$C$5,"Missed",IF(D105-Dashboard!$C$5&lt;=Lists!$R$5,"Due soon","Scheduled"))))</f>
        <v/>
      </c>
      <c r="L105" s="10"/>
    </row>
    <row r="106" customFormat="false" ht="15" hidden="false" customHeight="false" outlineLevel="0" collapsed="false">
      <c r="A106" s="10"/>
      <c r="B106" s="10"/>
      <c r="C106" s="10"/>
      <c r="D106" s="11"/>
      <c r="E106" s="11"/>
      <c r="F106" s="10"/>
      <c r="G106" s="22"/>
      <c r="H106" s="22"/>
      <c r="I106" s="26" t="str">
        <f aca="false">IF(OR(G106="",H106="",G106=0),"",H106/G106)</f>
        <v/>
      </c>
      <c r="J106" s="22"/>
      <c r="K106" s="18" t="str">
        <f aca="false">IF(D106="","",IF(E106&lt;&gt;"","Completed",IF(D106&lt;Dashboard!$C$5,"Missed",IF(D106-Dashboard!$C$5&lt;=Lists!$R$5,"Due soon","Scheduled"))))</f>
        <v/>
      </c>
      <c r="L106" s="10"/>
    </row>
    <row r="107" customFormat="false" ht="15" hidden="false" customHeight="false" outlineLevel="0" collapsed="false">
      <c r="A107" s="10"/>
      <c r="B107" s="10"/>
      <c r="C107" s="10"/>
      <c r="D107" s="11"/>
      <c r="E107" s="11"/>
      <c r="F107" s="10"/>
      <c r="G107" s="22"/>
      <c r="H107" s="22"/>
      <c r="I107" s="26" t="str">
        <f aca="false">IF(OR(G107="",H107="",G107=0),"",H107/G107)</f>
        <v/>
      </c>
      <c r="J107" s="22"/>
      <c r="K107" s="18" t="str">
        <f aca="false">IF(D107="","",IF(E107&lt;&gt;"","Completed",IF(D107&lt;Dashboard!$C$5,"Missed",IF(D107-Dashboard!$C$5&lt;=Lists!$R$5,"Due soon","Scheduled"))))</f>
        <v/>
      </c>
      <c r="L107" s="10"/>
    </row>
    <row r="108" customFormat="false" ht="15" hidden="false" customHeight="false" outlineLevel="0" collapsed="false">
      <c r="A108" s="10"/>
      <c r="B108" s="10"/>
      <c r="C108" s="10"/>
      <c r="D108" s="11"/>
      <c r="E108" s="11"/>
      <c r="F108" s="10"/>
      <c r="G108" s="22"/>
      <c r="H108" s="22"/>
      <c r="I108" s="26" t="str">
        <f aca="false">IF(OR(G108="",H108="",G108=0),"",H108/G108)</f>
        <v/>
      </c>
      <c r="J108" s="22"/>
      <c r="K108" s="18" t="str">
        <f aca="false">IF(D108="","",IF(E108&lt;&gt;"","Completed",IF(D108&lt;Dashboard!$C$5,"Missed",IF(D108-Dashboard!$C$5&lt;=Lists!$R$5,"Due soon","Scheduled"))))</f>
        <v/>
      </c>
      <c r="L108" s="10"/>
    </row>
    <row r="109" customFormat="false" ht="15" hidden="false" customHeight="false" outlineLevel="0" collapsed="false">
      <c r="A109" s="10"/>
      <c r="B109" s="10"/>
      <c r="C109" s="10"/>
      <c r="D109" s="11"/>
      <c r="E109" s="11"/>
      <c r="F109" s="10"/>
      <c r="G109" s="22"/>
      <c r="H109" s="22"/>
      <c r="I109" s="26" t="str">
        <f aca="false">IF(OR(G109="",H109="",G109=0),"",H109/G109)</f>
        <v/>
      </c>
      <c r="J109" s="22"/>
      <c r="K109" s="18" t="str">
        <f aca="false">IF(D109="","",IF(E109&lt;&gt;"","Completed",IF(D109&lt;Dashboard!$C$5,"Missed",IF(D109-Dashboard!$C$5&lt;=Lists!$R$5,"Due soon","Scheduled"))))</f>
        <v/>
      </c>
      <c r="L109" s="10"/>
    </row>
    <row r="110" customFormat="false" ht="15" hidden="false" customHeight="false" outlineLevel="0" collapsed="false">
      <c r="A110" s="10"/>
      <c r="B110" s="10"/>
      <c r="C110" s="10"/>
      <c r="D110" s="11"/>
      <c r="E110" s="11"/>
      <c r="F110" s="10"/>
      <c r="G110" s="22"/>
      <c r="H110" s="22"/>
      <c r="I110" s="26" t="str">
        <f aca="false">IF(OR(G110="",H110="",G110=0),"",H110/G110)</f>
        <v/>
      </c>
      <c r="J110" s="22"/>
      <c r="K110" s="18" t="str">
        <f aca="false">IF(D110="","",IF(E110&lt;&gt;"","Completed",IF(D110&lt;Dashboard!$C$5,"Missed",IF(D110-Dashboard!$C$5&lt;=Lists!$R$5,"Due soon","Scheduled"))))</f>
        <v/>
      </c>
      <c r="L110" s="10"/>
    </row>
    <row r="111" customFormat="false" ht="15" hidden="false" customHeight="false" outlineLevel="0" collapsed="false">
      <c r="A111" s="10"/>
      <c r="B111" s="10"/>
      <c r="C111" s="10"/>
      <c r="D111" s="11"/>
      <c r="E111" s="11"/>
      <c r="F111" s="10"/>
      <c r="G111" s="22"/>
      <c r="H111" s="22"/>
      <c r="I111" s="26" t="str">
        <f aca="false">IF(OR(G111="",H111="",G111=0),"",H111/G111)</f>
        <v/>
      </c>
      <c r="J111" s="22"/>
      <c r="K111" s="18" t="str">
        <f aca="false">IF(D111="","",IF(E111&lt;&gt;"","Completed",IF(D111&lt;Dashboard!$C$5,"Missed",IF(D111-Dashboard!$C$5&lt;=Lists!$R$5,"Due soon","Scheduled"))))</f>
        <v/>
      </c>
      <c r="L111" s="10"/>
    </row>
    <row r="112" customFormat="false" ht="15" hidden="false" customHeight="false" outlineLevel="0" collapsed="false">
      <c r="A112" s="10"/>
      <c r="B112" s="10"/>
      <c r="C112" s="10"/>
      <c r="D112" s="11"/>
      <c r="E112" s="11"/>
      <c r="F112" s="10"/>
      <c r="G112" s="22"/>
      <c r="H112" s="22"/>
      <c r="I112" s="26" t="str">
        <f aca="false">IF(OR(G112="",H112="",G112=0),"",H112/G112)</f>
        <v/>
      </c>
      <c r="J112" s="22"/>
      <c r="K112" s="18" t="str">
        <f aca="false">IF(D112="","",IF(E112&lt;&gt;"","Completed",IF(D112&lt;Dashboard!$C$5,"Missed",IF(D112-Dashboard!$C$5&lt;=Lists!$R$5,"Due soon","Scheduled"))))</f>
        <v/>
      </c>
      <c r="L112" s="10"/>
    </row>
    <row r="113" customFormat="false" ht="15" hidden="false" customHeight="false" outlineLevel="0" collapsed="false">
      <c r="A113" s="10"/>
      <c r="B113" s="10"/>
      <c r="C113" s="10"/>
      <c r="D113" s="11"/>
      <c r="E113" s="11"/>
      <c r="F113" s="10"/>
      <c r="G113" s="22"/>
      <c r="H113" s="22"/>
      <c r="I113" s="26" t="str">
        <f aca="false">IF(OR(G113="",H113="",G113=0),"",H113/G113)</f>
        <v/>
      </c>
      <c r="J113" s="22"/>
      <c r="K113" s="18" t="str">
        <f aca="false">IF(D113="","",IF(E113&lt;&gt;"","Completed",IF(D113&lt;Dashboard!$C$5,"Missed",IF(D113-Dashboard!$C$5&lt;=Lists!$R$5,"Due soon","Scheduled"))))</f>
        <v/>
      </c>
      <c r="L113" s="10"/>
    </row>
    <row r="114" customFormat="false" ht="15" hidden="false" customHeight="false" outlineLevel="0" collapsed="false">
      <c r="A114" s="10"/>
      <c r="B114" s="10"/>
      <c r="C114" s="10"/>
      <c r="D114" s="11"/>
      <c r="E114" s="11"/>
      <c r="F114" s="10"/>
      <c r="G114" s="22"/>
      <c r="H114" s="22"/>
      <c r="I114" s="26" t="str">
        <f aca="false">IF(OR(G114="",H114="",G114=0),"",H114/G114)</f>
        <v/>
      </c>
      <c r="J114" s="22"/>
      <c r="K114" s="18" t="str">
        <f aca="false">IF(D114="","",IF(E114&lt;&gt;"","Completed",IF(D114&lt;Dashboard!$C$5,"Missed",IF(D114-Dashboard!$C$5&lt;=Lists!$R$5,"Due soon","Scheduled"))))</f>
        <v/>
      </c>
      <c r="L114" s="10"/>
    </row>
    <row r="115" customFormat="false" ht="15" hidden="false" customHeight="false" outlineLevel="0" collapsed="false">
      <c r="A115" s="10"/>
      <c r="B115" s="10"/>
      <c r="C115" s="10"/>
      <c r="D115" s="11"/>
      <c r="E115" s="11"/>
      <c r="F115" s="10"/>
      <c r="G115" s="22"/>
      <c r="H115" s="22"/>
      <c r="I115" s="26" t="str">
        <f aca="false">IF(OR(G115="",H115="",G115=0),"",H115/G115)</f>
        <v/>
      </c>
      <c r="J115" s="22"/>
      <c r="K115" s="18" t="str">
        <f aca="false">IF(D115="","",IF(E115&lt;&gt;"","Completed",IF(D115&lt;Dashboard!$C$5,"Missed",IF(D115-Dashboard!$C$5&lt;=Lists!$R$5,"Due soon","Scheduled"))))</f>
        <v/>
      </c>
      <c r="L115" s="10"/>
    </row>
    <row r="116" customFormat="false" ht="15" hidden="false" customHeight="false" outlineLevel="0" collapsed="false">
      <c r="A116" s="10"/>
      <c r="B116" s="10"/>
      <c r="C116" s="10"/>
      <c r="D116" s="11"/>
      <c r="E116" s="11"/>
      <c r="F116" s="10"/>
      <c r="G116" s="22"/>
      <c r="H116" s="22"/>
      <c r="I116" s="26" t="str">
        <f aca="false">IF(OR(G116="",H116="",G116=0),"",H116/G116)</f>
        <v/>
      </c>
      <c r="J116" s="22"/>
      <c r="K116" s="18" t="str">
        <f aca="false">IF(D116="","",IF(E116&lt;&gt;"","Completed",IF(D116&lt;Dashboard!$C$5,"Missed",IF(D116-Dashboard!$C$5&lt;=Lists!$R$5,"Due soon","Scheduled"))))</f>
        <v/>
      </c>
      <c r="L116" s="10"/>
    </row>
    <row r="117" customFormat="false" ht="15" hidden="false" customHeight="false" outlineLevel="0" collapsed="false">
      <c r="A117" s="10"/>
      <c r="B117" s="10"/>
      <c r="C117" s="10"/>
      <c r="D117" s="11"/>
      <c r="E117" s="11"/>
      <c r="F117" s="10"/>
      <c r="G117" s="22"/>
      <c r="H117" s="22"/>
      <c r="I117" s="26" t="str">
        <f aca="false">IF(OR(G117="",H117="",G117=0),"",H117/G117)</f>
        <v/>
      </c>
      <c r="J117" s="22"/>
      <c r="K117" s="18" t="str">
        <f aca="false">IF(D117="","",IF(E117&lt;&gt;"","Completed",IF(D117&lt;Dashboard!$C$5,"Missed",IF(D117-Dashboard!$C$5&lt;=Lists!$R$5,"Due soon","Scheduled"))))</f>
        <v/>
      </c>
      <c r="L117" s="10"/>
    </row>
    <row r="118" customFormat="false" ht="15" hidden="false" customHeight="false" outlineLevel="0" collapsed="false">
      <c r="A118" s="10"/>
      <c r="B118" s="10"/>
      <c r="C118" s="10"/>
      <c r="D118" s="11"/>
      <c r="E118" s="11"/>
      <c r="F118" s="10"/>
      <c r="G118" s="22"/>
      <c r="H118" s="22"/>
      <c r="I118" s="26" t="str">
        <f aca="false">IF(OR(G118="",H118="",G118=0),"",H118/G118)</f>
        <v/>
      </c>
      <c r="J118" s="22"/>
      <c r="K118" s="18" t="str">
        <f aca="false">IF(D118="","",IF(E118&lt;&gt;"","Completed",IF(D118&lt;Dashboard!$C$5,"Missed",IF(D118-Dashboard!$C$5&lt;=Lists!$R$5,"Due soon","Scheduled"))))</f>
        <v/>
      </c>
      <c r="L118" s="10"/>
    </row>
    <row r="119" customFormat="false" ht="15" hidden="false" customHeight="false" outlineLevel="0" collapsed="false">
      <c r="A119" s="10"/>
      <c r="B119" s="10"/>
      <c r="C119" s="10"/>
      <c r="D119" s="11"/>
      <c r="E119" s="11"/>
      <c r="F119" s="10"/>
      <c r="G119" s="22"/>
      <c r="H119" s="22"/>
      <c r="I119" s="26" t="str">
        <f aca="false">IF(OR(G119="",H119="",G119=0),"",H119/G119)</f>
        <v/>
      </c>
      <c r="J119" s="22"/>
      <c r="K119" s="18" t="str">
        <f aca="false">IF(D119="","",IF(E119&lt;&gt;"","Completed",IF(D119&lt;Dashboard!$C$5,"Missed",IF(D119-Dashboard!$C$5&lt;=Lists!$R$5,"Due soon","Scheduled"))))</f>
        <v/>
      </c>
      <c r="L119" s="10"/>
    </row>
    <row r="120" customFormat="false" ht="15" hidden="false" customHeight="false" outlineLevel="0" collapsed="false">
      <c r="A120" s="10"/>
      <c r="B120" s="10"/>
      <c r="C120" s="10"/>
      <c r="D120" s="11"/>
      <c r="E120" s="11"/>
      <c r="F120" s="10"/>
      <c r="G120" s="22"/>
      <c r="H120" s="22"/>
      <c r="I120" s="26" t="str">
        <f aca="false">IF(OR(G120="",H120="",G120=0),"",H120/G120)</f>
        <v/>
      </c>
      <c r="J120" s="22"/>
      <c r="K120" s="18" t="str">
        <f aca="false">IF(D120="","",IF(E120&lt;&gt;"","Completed",IF(D120&lt;Dashboard!$C$5,"Missed",IF(D120-Dashboard!$C$5&lt;=Lists!$R$5,"Due soon","Scheduled"))))</f>
        <v/>
      </c>
      <c r="L120" s="10"/>
    </row>
    <row r="121" customFormat="false" ht="15" hidden="false" customHeight="false" outlineLevel="0" collapsed="false">
      <c r="A121" s="10"/>
      <c r="B121" s="10"/>
      <c r="C121" s="10"/>
      <c r="D121" s="11"/>
      <c r="E121" s="11"/>
      <c r="F121" s="10"/>
      <c r="G121" s="22"/>
      <c r="H121" s="22"/>
      <c r="I121" s="26" t="str">
        <f aca="false">IF(OR(G121="",H121="",G121=0),"",H121/G121)</f>
        <v/>
      </c>
      <c r="J121" s="22"/>
      <c r="K121" s="18" t="str">
        <f aca="false">IF(D121="","",IF(E121&lt;&gt;"","Completed",IF(D121&lt;Dashboard!$C$5,"Missed",IF(D121-Dashboard!$C$5&lt;=Lists!$R$5,"Due soon","Scheduled"))))</f>
        <v/>
      </c>
      <c r="L121" s="10"/>
    </row>
    <row r="122" customFormat="false" ht="15" hidden="false" customHeight="false" outlineLevel="0" collapsed="false">
      <c r="A122" s="10"/>
      <c r="B122" s="10"/>
      <c r="C122" s="10"/>
      <c r="D122" s="11"/>
      <c r="E122" s="11"/>
      <c r="F122" s="10"/>
      <c r="G122" s="22"/>
      <c r="H122" s="22"/>
      <c r="I122" s="26" t="str">
        <f aca="false">IF(OR(G122="",H122="",G122=0),"",H122/G122)</f>
        <v/>
      </c>
      <c r="J122" s="22"/>
      <c r="K122" s="18" t="str">
        <f aca="false">IF(D122="","",IF(E122&lt;&gt;"","Completed",IF(D122&lt;Dashboard!$C$5,"Missed",IF(D122-Dashboard!$C$5&lt;=Lists!$R$5,"Due soon","Scheduled"))))</f>
        <v/>
      </c>
      <c r="L122" s="10"/>
    </row>
    <row r="123" customFormat="false" ht="15" hidden="false" customHeight="false" outlineLevel="0" collapsed="false">
      <c r="A123" s="10"/>
      <c r="B123" s="10"/>
      <c r="C123" s="10"/>
      <c r="D123" s="11"/>
      <c r="E123" s="11"/>
      <c r="F123" s="10"/>
      <c r="G123" s="22"/>
      <c r="H123" s="22"/>
      <c r="I123" s="26" t="str">
        <f aca="false">IF(OR(G123="",H123="",G123=0),"",H123/G123)</f>
        <v/>
      </c>
      <c r="J123" s="22"/>
      <c r="K123" s="18" t="str">
        <f aca="false">IF(D123="","",IF(E123&lt;&gt;"","Completed",IF(D123&lt;Dashboard!$C$5,"Missed",IF(D123-Dashboard!$C$5&lt;=Lists!$R$5,"Due soon","Scheduled"))))</f>
        <v/>
      </c>
      <c r="L123" s="10"/>
    </row>
    <row r="124" customFormat="false" ht="15" hidden="false" customHeight="false" outlineLevel="0" collapsed="false">
      <c r="A124" s="10"/>
      <c r="B124" s="10"/>
      <c r="C124" s="10"/>
      <c r="D124" s="11"/>
      <c r="E124" s="11"/>
      <c r="F124" s="10"/>
      <c r="G124" s="22"/>
      <c r="H124" s="22"/>
      <c r="I124" s="26" t="str">
        <f aca="false">IF(OR(G124="",H124="",G124=0),"",H124/G124)</f>
        <v/>
      </c>
      <c r="J124" s="22"/>
      <c r="K124" s="18" t="str">
        <f aca="false">IF(D124="","",IF(E124&lt;&gt;"","Completed",IF(D124&lt;Dashboard!$C$5,"Missed",IF(D124-Dashboard!$C$5&lt;=Lists!$R$5,"Due soon","Scheduled"))))</f>
        <v/>
      </c>
      <c r="L124" s="10"/>
    </row>
    <row r="125" customFormat="false" ht="15" hidden="false" customHeight="false" outlineLevel="0" collapsed="false">
      <c r="A125" s="10"/>
      <c r="B125" s="10"/>
      <c r="C125" s="10"/>
      <c r="D125" s="11"/>
      <c r="E125" s="11"/>
      <c r="F125" s="10"/>
      <c r="G125" s="22"/>
      <c r="H125" s="22"/>
      <c r="I125" s="26" t="str">
        <f aca="false">IF(OR(G125="",H125="",G125=0),"",H125/G125)</f>
        <v/>
      </c>
      <c r="J125" s="22"/>
      <c r="K125" s="18" t="str">
        <f aca="false">IF(D125="","",IF(E125&lt;&gt;"","Completed",IF(D125&lt;Dashboard!$C$5,"Missed",IF(D125-Dashboard!$C$5&lt;=Lists!$R$5,"Due soon","Scheduled"))))</f>
        <v/>
      </c>
      <c r="L125" s="10"/>
    </row>
    <row r="126" customFormat="false" ht="15" hidden="false" customHeight="false" outlineLevel="0" collapsed="false">
      <c r="A126" s="10"/>
      <c r="B126" s="10"/>
      <c r="C126" s="10"/>
      <c r="D126" s="11"/>
      <c r="E126" s="11"/>
      <c r="F126" s="10"/>
      <c r="G126" s="22"/>
      <c r="H126" s="22"/>
      <c r="I126" s="26" t="str">
        <f aca="false">IF(OR(G126="",H126="",G126=0),"",H126/G126)</f>
        <v/>
      </c>
      <c r="J126" s="22"/>
      <c r="K126" s="18" t="str">
        <f aca="false">IF(D126="","",IF(E126&lt;&gt;"","Completed",IF(D126&lt;Dashboard!$C$5,"Missed",IF(D126-Dashboard!$C$5&lt;=Lists!$R$5,"Due soon","Scheduled"))))</f>
        <v/>
      </c>
      <c r="L126" s="10"/>
    </row>
    <row r="127" customFormat="false" ht="15" hidden="false" customHeight="false" outlineLevel="0" collapsed="false">
      <c r="A127" s="10"/>
      <c r="B127" s="10"/>
      <c r="C127" s="10"/>
      <c r="D127" s="11"/>
      <c r="E127" s="11"/>
      <c r="F127" s="10"/>
      <c r="G127" s="22"/>
      <c r="H127" s="22"/>
      <c r="I127" s="26" t="str">
        <f aca="false">IF(OR(G127="",H127="",G127=0),"",H127/G127)</f>
        <v/>
      </c>
      <c r="J127" s="22"/>
      <c r="K127" s="18" t="str">
        <f aca="false">IF(D127="","",IF(E127&lt;&gt;"","Completed",IF(D127&lt;Dashboard!$C$5,"Missed",IF(D127-Dashboard!$C$5&lt;=Lists!$R$5,"Due soon","Scheduled"))))</f>
        <v/>
      </c>
      <c r="L127" s="10"/>
    </row>
    <row r="128" customFormat="false" ht="15" hidden="false" customHeight="false" outlineLevel="0" collapsed="false">
      <c r="A128" s="10"/>
      <c r="B128" s="10"/>
      <c r="C128" s="10"/>
      <c r="D128" s="11"/>
      <c r="E128" s="11"/>
      <c r="F128" s="10"/>
      <c r="G128" s="22"/>
      <c r="H128" s="22"/>
      <c r="I128" s="26" t="str">
        <f aca="false">IF(OR(G128="",H128="",G128=0),"",H128/G128)</f>
        <v/>
      </c>
      <c r="J128" s="22"/>
      <c r="K128" s="18" t="str">
        <f aca="false">IF(D128="","",IF(E128&lt;&gt;"","Completed",IF(D128&lt;Dashboard!$C$5,"Missed",IF(D128-Dashboard!$C$5&lt;=Lists!$R$5,"Due soon","Scheduled"))))</f>
        <v/>
      </c>
      <c r="L128" s="10"/>
    </row>
    <row r="129" customFormat="false" ht="15" hidden="false" customHeight="false" outlineLevel="0" collapsed="false">
      <c r="A129" s="10"/>
      <c r="B129" s="10"/>
      <c r="C129" s="10"/>
      <c r="D129" s="11"/>
      <c r="E129" s="11"/>
      <c r="F129" s="10"/>
      <c r="G129" s="22"/>
      <c r="H129" s="22"/>
      <c r="I129" s="26" t="str">
        <f aca="false">IF(OR(G129="",H129="",G129=0),"",H129/G129)</f>
        <v/>
      </c>
      <c r="J129" s="22"/>
      <c r="K129" s="18" t="str">
        <f aca="false">IF(D129="","",IF(E129&lt;&gt;"","Completed",IF(D129&lt;Dashboard!$C$5,"Missed",IF(D129-Dashboard!$C$5&lt;=Lists!$R$5,"Due soon","Scheduled"))))</f>
        <v/>
      </c>
      <c r="L129" s="10"/>
    </row>
    <row r="130" customFormat="false" ht="15" hidden="false" customHeight="false" outlineLevel="0" collapsed="false">
      <c r="A130" s="10"/>
      <c r="B130" s="10"/>
      <c r="C130" s="10"/>
      <c r="D130" s="11"/>
      <c r="E130" s="11"/>
      <c r="F130" s="10"/>
      <c r="G130" s="22"/>
      <c r="H130" s="22"/>
      <c r="I130" s="26" t="str">
        <f aca="false">IF(OR(G130="",H130="",G130=0),"",H130/G130)</f>
        <v/>
      </c>
      <c r="J130" s="22"/>
      <c r="K130" s="18" t="str">
        <f aca="false">IF(D130="","",IF(E130&lt;&gt;"","Completed",IF(D130&lt;Dashboard!$C$5,"Missed",IF(D130-Dashboard!$C$5&lt;=Lists!$R$5,"Due soon","Scheduled"))))</f>
        <v/>
      </c>
      <c r="L130" s="10"/>
    </row>
    <row r="131" customFormat="false" ht="15" hidden="false" customHeight="false" outlineLevel="0" collapsed="false">
      <c r="A131" s="10"/>
      <c r="B131" s="10"/>
      <c r="C131" s="10"/>
      <c r="D131" s="11"/>
      <c r="E131" s="11"/>
      <c r="F131" s="10"/>
      <c r="G131" s="22"/>
      <c r="H131" s="22"/>
      <c r="I131" s="26" t="str">
        <f aca="false">IF(OR(G131="",H131="",G131=0),"",H131/G131)</f>
        <v/>
      </c>
      <c r="J131" s="22"/>
      <c r="K131" s="18" t="str">
        <f aca="false">IF(D131="","",IF(E131&lt;&gt;"","Completed",IF(D131&lt;Dashboard!$C$5,"Missed",IF(D131-Dashboard!$C$5&lt;=Lists!$R$5,"Due soon","Scheduled"))))</f>
        <v/>
      </c>
      <c r="L131" s="10"/>
    </row>
    <row r="132" customFormat="false" ht="15" hidden="false" customHeight="false" outlineLevel="0" collapsed="false">
      <c r="A132" s="10"/>
      <c r="B132" s="10"/>
      <c r="C132" s="10"/>
      <c r="D132" s="11"/>
      <c r="E132" s="11"/>
      <c r="F132" s="10"/>
      <c r="G132" s="22"/>
      <c r="H132" s="22"/>
      <c r="I132" s="26" t="str">
        <f aca="false">IF(OR(G132="",H132="",G132=0),"",H132/G132)</f>
        <v/>
      </c>
      <c r="J132" s="22"/>
      <c r="K132" s="18" t="str">
        <f aca="false">IF(D132="","",IF(E132&lt;&gt;"","Completed",IF(D132&lt;Dashboard!$C$5,"Missed",IF(D132-Dashboard!$C$5&lt;=Lists!$R$5,"Due soon","Scheduled"))))</f>
        <v/>
      </c>
      <c r="L132" s="10"/>
    </row>
    <row r="133" customFormat="false" ht="15" hidden="false" customHeight="false" outlineLevel="0" collapsed="false">
      <c r="A133" s="10"/>
      <c r="B133" s="10"/>
      <c r="C133" s="10"/>
      <c r="D133" s="11"/>
      <c r="E133" s="11"/>
      <c r="F133" s="10"/>
      <c r="G133" s="22"/>
      <c r="H133" s="22"/>
      <c r="I133" s="26" t="str">
        <f aca="false">IF(OR(G133="",H133="",G133=0),"",H133/G133)</f>
        <v/>
      </c>
      <c r="J133" s="22"/>
      <c r="K133" s="18" t="str">
        <f aca="false">IF(D133="","",IF(E133&lt;&gt;"","Completed",IF(D133&lt;Dashboard!$C$5,"Missed",IF(D133-Dashboard!$C$5&lt;=Lists!$R$5,"Due soon","Scheduled"))))</f>
        <v/>
      </c>
      <c r="L133" s="10"/>
    </row>
    <row r="134" customFormat="false" ht="15" hidden="false" customHeight="false" outlineLevel="0" collapsed="false">
      <c r="A134" s="10"/>
      <c r="B134" s="10"/>
      <c r="C134" s="10"/>
      <c r="D134" s="11"/>
      <c r="E134" s="11"/>
      <c r="F134" s="10"/>
      <c r="G134" s="22"/>
      <c r="H134" s="22"/>
      <c r="I134" s="26" t="str">
        <f aca="false">IF(OR(G134="",H134="",G134=0),"",H134/G134)</f>
        <v/>
      </c>
      <c r="J134" s="22"/>
      <c r="K134" s="18" t="str">
        <f aca="false">IF(D134="","",IF(E134&lt;&gt;"","Completed",IF(D134&lt;Dashboard!$C$5,"Missed",IF(D134-Dashboard!$C$5&lt;=Lists!$R$5,"Due soon","Scheduled"))))</f>
        <v/>
      </c>
      <c r="L134" s="10"/>
    </row>
    <row r="135" customFormat="false" ht="15" hidden="false" customHeight="false" outlineLevel="0" collapsed="false">
      <c r="A135" s="10"/>
      <c r="B135" s="10"/>
      <c r="C135" s="10"/>
      <c r="D135" s="11"/>
      <c r="E135" s="11"/>
      <c r="F135" s="10"/>
      <c r="G135" s="22"/>
      <c r="H135" s="22"/>
      <c r="I135" s="26" t="str">
        <f aca="false">IF(OR(G135="",H135="",G135=0),"",H135/G135)</f>
        <v/>
      </c>
      <c r="J135" s="22"/>
      <c r="K135" s="18" t="str">
        <f aca="false">IF(D135="","",IF(E135&lt;&gt;"","Completed",IF(D135&lt;Dashboard!$C$5,"Missed",IF(D135-Dashboard!$C$5&lt;=Lists!$R$5,"Due soon","Scheduled"))))</f>
        <v/>
      </c>
      <c r="L135" s="10"/>
    </row>
    <row r="136" customFormat="false" ht="15" hidden="false" customHeight="false" outlineLevel="0" collapsed="false">
      <c r="A136" s="10"/>
      <c r="B136" s="10"/>
      <c r="C136" s="10"/>
      <c r="D136" s="11"/>
      <c r="E136" s="11"/>
      <c r="F136" s="10"/>
      <c r="G136" s="22"/>
      <c r="H136" s="22"/>
      <c r="I136" s="26" t="str">
        <f aca="false">IF(OR(G136="",H136="",G136=0),"",H136/G136)</f>
        <v/>
      </c>
      <c r="J136" s="22"/>
      <c r="K136" s="18" t="str">
        <f aca="false">IF(D136="","",IF(E136&lt;&gt;"","Completed",IF(D136&lt;Dashboard!$C$5,"Missed",IF(D136-Dashboard!$C$5&lt;=Lists!$R$5,"Due soon","Scheduled"))))</f>
        <v/>
      </c>
      <c r="L136" s="10"/>
    </row>
    <row r="137" customFormat="false" ht="15" hidden="false" customHeight="false" outlineLevel="0" collapsed="false">
      <c r="A137" s="10"/>
      <c r="B137" s="10"/>
      <c r="C137" s="10"/>
      <c r="D137" s="11"/>
      <c r="E137" s="11"/>
      <c r="F137" s="10"/>
      <c r="G137" s="22"/>
      <c r="H137" s="22"/>
      <c r="I137" s="26" t="str">
        <f aca="false">IF(OR(G137="",H137="",G137=0),"",H137/G137)</f>
        <v/>
      </c>
      <c r="J137" s="22"/>
      <c r="K137" s="18" t="str">
        <f aca="false">IF(D137="","",IF(E137&lt;&gt;"","Completed",IF(D137&lt;Dashboard!$C$5,"Missed",IF(D137-Dashboard!$C$5&lt;=Lists!$R$5,"Due soon","Scheduled"))))</f>
        <v/>
      </c>
      <c r="L137" s="10"/>
    </row>
    <row r="138" customFormat="false" ht="15" hidden="false" customHeight="false" outlineLevel="0" collapsed="false">
      <c r="A138" s="10"/>
      <c r="B138" s="10"/>
      <c r="C138" s="10"/>
      <c r="D138" s="11"/>
      <c r="E138" s="11"/>
      <c r="F138" s="10"/>
      <c r="G138" s="22"/>
      <c r="H138" s="22"/>
      <c r="I138" s="26" t="str">
        <f aca="false">IF(OR(G138="",H138="",G138=0),"",H138/G138)</f>
        <v/>
      </c>
      <c r="J138" s="22"/>
      <c r="K138" s="18" t="str">
        <f aca="false">IF(D138="","",IF(E138&lt;&gt;"","Completed",IF(D138&lt;Dashboard!$C$5,"Missed",IF(D138-Dashboard!$C$5&lt;=Lists!$R$5,"Due soon","Scheduled"))))</f>
        <v/>
      </c>
      <c r="L138" s="10"/>
    </row>
    <row r="139" customFormat="false" ht="15" hidden="false" customHeight="false" outlineLevel="0" collapsed="false">
      <c r="A139" s="10"/>
      <c r="B139" s="10"/>
      <c r="C139" s="10"/>
      <c r="D139" s="11"/>
      <c r="E139" s="11"/>
      <c r="F139" s="10"/>
      <c r="G139" s="22"/>
      <c r="H139" s="22"/>
      <c r="I139" s="26" t="str">
        <f aca="false">IF(OR(G139="",H139="",G139=0),"",H139/G139)</f>
        <v/>
      </c>
      <c r="J139" s="22"/>
      <c r="K139" s="18" t="str">
        <f aca="false">IF(D139="","",IF(E139&lt;&gt;"","Completed",IF(D139&lt;Dashboard!$C$5,"Missed",IF(D139-Dashboard!$C$5&lt;=Lists!$R$5,"Due soon","Scheduled"))))</f>
        <v/>
      </c>
      <c r="L139" s="10"/>
    </row>
    <row r="140" customFormat="false" ht="15" hidden="false" customHeight="false" outlineLevel="0" collapsed="false">
      <c r="A140" s="10"/>
      <c r="B140" s="10"/>
      <c r="C140" s="10"/>
      <c r="D140" s="11"/>
      <c r="E140" s="11"/>
      <c r="F140" s="10"/>
      <c r="G140" s="22"/>
      <c r="H140" s="22"/>
      <c r="I140" s="26" t="str">
        <f aca="false">IF(OR(G140="",H140="",G140=0),"",H140/G140)</f>
        <v/>
      </c>
      <c r="J140" s="22"/>
      <c r="K140" s="18" t="str">
        <f aca="false">IF(D140="","",IF(E140&lt;&gt;"","Completed",IF(D140&lt;Dashboard!$C$5,"Missed",IF(D140-Dashboard!$C$5&lt;=Lists!$R$5,"Due soon","Scheduled"))))</f>
        <v/>
      </c>
      <c r="L140" s="10"/>
    </row>
    <row r="141" customFormat="false" ht="15" hidden="false" customHeight="false" outlineLevel="0" collapsed="false">
      <c r="A141" s="10"/>
      <c r="B141" s="10"/>
      <c r="C141" s="10"/>
      <c r="D141" s="11"/>
      <c r="E141" s="11"/>
      <c r="F141" s="10"/>
      <c r="G141" s="22"/>
      <c r="H141" s="22"/>
      <c r="I141" s="26" t="str">
        <f aca="false">IF(OR(G141="",H141="",G141=0),"",H141/G141)</f>
        <v/>
      </c>
      <c r="J141" s="22"/>
      <c r="K141" s="18" t="str">
        <f aca="false">IF(D141="","",IF(E141&lt;&gt;"","Completed",IF(D141&lt;Dashboard!$C$5,"Missed",IF(D141-Dashboard!$C$5&lt;=Lists!$R$5,"Due soon","Scheduled"))))</f>
        <v/>
      </c>
      <c r="L141" s="10"/>
    </row>
    <row r="142" customFormat="false" ht="15" hidden="false" customHeight="false" outlineLevel="0" collapsed="false">
      <c r="A142" s="10"/>
      <c r="B142" s="10"/>
      <c r="C142" s="10"/>
      <c r="D142" s="11"/>
      <c r="E142" s="11"/>
      <c r="F142" s="10"/>
      <c r="G142" s="22"/>
      <c r="H142" s="22"/>
      <c r="I142" s="26" t="str">
        <f aca="false">IF(OR(G142="",H142="",G142=0),"",H142/G142)</f>
        <v/>
      </c>
      <c r="J142" s="22"/>
      <c r="K142" s="18" t="str">
        <f aca="false">IF(D142="","",IF(E142&lt;&gt;"","Completed",IF(D142&lt;Dashboard!$C$5,"Missed",IF(D142-Dashboard!$C$5&lt;=Lists!$R$5,"Due soon","Scheduled"))))</f>
        <v/>
      </c>
      <c r="L142" s="10"/>
    </row>
    <row r="143" customFormat="false" ht="15" hidden="false" customHeight="false" outlineLevel="0" collapsed="false">
      <c r="A143" s="10"/>
      <c r="B143" s="10"/>
      <c r="C143" s="10"/>
      <c r="D143" s="11"/>
      <c r="E143" s="11"/>
      <c r="F143" s="10"/>
      <c r="G143" s="22"/>
      <c r="H143" s="22"/>
      <c r="I143" s="26" t="str">
        <f aca="false">IF(OR(G143="",H143="",G143=0),"",H143/G143)</f>
        <v/>
      </c>
      <c r="J143" s="22"/>
      <c r="K143" s="18" t="str">
        <f aca="false">IF(D143="","",IF(E143&lt;&gt;"","Completed",IF(D143&lt;Dashboard!$C$5,"Missed",IF(D143-Dashboard!$C$5&lt;=Lists!$R$5,"Due soon","Scheduled"))))</f>
        <v/>
      </c>
      <c r="L143" s="10"/>
    </row>
    <row r="144" customFormat="false" ht="15" hidden="false" customHeight="false" outlineLevel="0" collapsed="false">
      <c r="A144" s="10"/>
      <c r="B144" s="10"/>
      <c r="C144" s="10"/>
      <c r="D144" s="11"/>
      <c r="E144" s="11"/>
      <c r="F144" s="10"/>
      <c r="G144" s="22"/>
      <c r="H144" s="22"/>
      <c r="I144" s="26" t="str">
        <f aca="false">IF(OR(G144="",H144="",G144=0),"",H144/G144)</f>
        <v/>
      </c>
      <c r="J144" s="22"/>
      <c r="K144" s="18" t="str">
        <f aca="false">IF(D144="","",IF(E144&lt;&gt;"","Completed",IF(D144&lt;Dashboard!$C$5,"Missed",IF(D144-Dashboard!$C$5&lt;=Lists!$R$5,"Due soon","Scheduled"))))</f>
        <v/>
      </c>
      <c r="L144" s="10"/>
    </row>
    <row r="145" customFormat="false" ht="15" hidden="false" customHeight="false" outlineLevel="0" collapsed="false">
      <c r="A145" s="10"/>
      <c r="B145" s="10"/>
      <c r="C145" s="10"/>
      <c r="D145" s="11"/>
      <c r="E145" s="11"/>
      <c r="F145" s="10"/>
      <c r="G145" s="22"/>
      <c r="H145" s="22"/>
      <c r="I145" s="26" t="str">
        <f aca="false">IF(OR(G145="",H145="",G145=0),"",H145/G145)</f>
        <v/>
      </c>
      <c r="J145" s="22"/>
      <c r="K145" s="18" t="str">
        <f aca="false">IF(D145="","",IF(E145&lt;&gt;"","Completed",IF(D145&lt;Dashboard!$C$5,"Missed",IF(D145-Dashboard!$C$5&lt;=Lists!$R$5,"Due soon","Scheduled"))))</f>
        <v/>
      </c>
      <c r="L145" s="10"/>
    </row>
    <row r="146" customFormat="false" ht="15" hidden="false" customHeight="false" outlineLevel="0" collapsed="false">
      <c r="A146" s="10"/>
      <c r="B146" s="10"/>
      <c r="C146" s="10"/>
      <c r="D146" s="11"/>
      <c r="E146" s="11"/>
      <c r="F146" s="10"/>
      <c r="G146" s="22"/>
      <c r="H146" s="22"/>
      <c r="I146" s="26" t="str">
        <f aca="false">IF(OR(G146="",H146="",G146=0),"",H146/G146)</f>
        <v/>
      </c>
      <c r="J146" s="22"/>
      <c r="K146" s="18" t="str">
        <f aca="false">IF(D146="","",IF(E146&lt;&gt;"","Completed",IF(D146&lt;Dashboard!$C$5,"Missed",IF(D146-Dashboard!$C$5&lt;=Lists!$R$5,"Due soon","Scheduled"))))</f>
        <v/>
      </c>
      <c r="L146" s="10"/>
    </row>
    <row r="147" customFormat="false" ht="15" hidden="false" customHeight="false" outlineLevel="0" collapsed="false">
      <c r="A147" s="10"/>
      <c r="B147" s="10"/>
      <c r="C147" s="10"/>
      <c r="D147" s="11"/>
      <c r="E147" s="11"/>
      <c r="F147" s="10"/>
      <c r="G147" s="22"/>
      <c r="H147" s="22"/>
      <c r="I147" s="26" t="str">
        <f aca="false">IF(OR(G147="",H147="",G147=0),"",H147/G147)</f>
        <v/>
      </c>
      <c r="J147" s="22"/>
      <c r="K147" s="18" t="str">
        <f aca="false">IF(D147="","",IF(E147&lt;&gt;"","Completed",IF(D147&lt;Dashboard!$C$5,"Missed",IF(D147-Dashboard!$C$5&lt;=Lists!$R$5,"Due soon","Scheduled"))))</f>
        <v/>
      </c>
      <c r="L147" s="10"/>
    </row>
    <row r="148" customFormat="false" ht="15" hidden="false" customHeight="false" outlineLevel="0" collapsed="false">
      <c r="A148" s="10"/>
      <c r="B148" s="10"/>
      <c r="C148" s="10"/>
      <c r="D148" s="11"/>
      <c r="E148" s="11"/>
      <c r="F148" s="10"/>
      <c r="G148" s="22"/>
      <c r="H148" s="22"/>
      <c r="I148" s="26" t="str">
        <f aca="false">IF(OR(G148="",H148="",G148=0),"",H148/G148)</f>
        <v/>
      </c>
      <c r="J148" s="22"/>
      <c r="K148" s="18" t="str">
        <f aca="false">IF(D148="","",IF(E148&lt;&gt;"","Completed",IF(D148&lt;Dashboard!$C$5,"Missed",IF(D148-Dashboard!$C$5&lt;=Lists!$R$5,"Due soon","Scheduled"))))</f>
        <v/>
      </c>
      <c r="L148" s="10"/>
    </row>
    <row r="149" customFormat="false" ht="15" hidden="false" customHeight="false" outlineLevel="0" collapsed="false">
      <c r="A149" s="10"/>
      <c r="B149" s="10"/>
      <c r="C149" s="10"/>
      <c r="D149" s="11"/>
      <c r="E149" s="11"/>
      <c r="F149" s="10"/>
      <c r="G149" s="22"/>
      <c r="H149" s="22"/>
      <c r="I149" s="26" t="str">
        <f aca="false">IF(OR(G149="",H149="",G149=0),"",H149/G149)</f>
        <v/>
      </c>
      <c r="J149" s="22"/>
      <c r="K149" s="18" t="str">
        <f aca="false">IF(D149="","",IF(E149&lt;&gt;"","Completed",IF(D149&lt;Dashboard!$C$5,"Missed",IF(D149-Dashboard!$C$5&lt;=Lists!$R$5,"Due soon","Scheduled"))))</f>
        <v/>
      </c>
      <c r="L149" s="10"/>
    </row>
    <row r="150" customFormat="false" ht="15" hidden="false" customHeight="false" outlineLevel="0" collapsed="false">
      <c r="A150" s="10"/>
      <c r="B150" s="10"/>
      <c r="C150" s="10"/>
      <c r="D150" s="11"/>
      <c r="E150" s="11"/>
      <c r="F150" s="10"/>
      <c r="G150" s="22"/>
      <c r="H150" s="22"/>
      <c r="I150" s="26" t="str">
        <f aca="false">IF(OR(G150="",H150="",G150=0),"",H150/G150)</f>
        <v/>
      </c>
      <c r="J150" s="22"/>
      <c r="K150" s="18" t="str">
        <f aca="false">IF(D150="","",IF(E150&lt;&gt;"","Completed",IF(D150&lt;Dashboard!$C$5,"Missed",IF(D150-Dashboard!$C$5&lt;=Lists!$R$5,"Due soon","Scheduled"))))</f>
        <v/>
      </c>
      <c r="L150" s="10"/>
    </row>
    <row r="151" customFormat="false" ht="15" hidden="false" customHeight="false" outlineLevel="0" collapsed="false">
      <c r="A151" s="10"/>
      <c r="B151" s="10"/>
      <c r="C151" s="10"/>
      <c r="D151" s="11"/>
      <c r="E151" s="11"/>
      <c r="F151" s="10"/>
      <c r="G151" s="22"/>
      <c r="H151" s="22"/>
      <c r="I151" s="26" t="str">
        <f aca="false">IF(OR(G151="",H151="",G151=0),"",H151/G151)</f>
        <v/>
      </c>
      <c r="J151" s="22"/>
      <c r="K151" s="18" t="str">
        <f aca="false">IF(D151="","",IF(E151&lt;&gt;"","Completed",IF(D151&lt;Dashboard!$C$5,"Missed",IF(D151-Dashboard!$C$5&lt;=Lists!$R$5,"Due soon","Scheduled"))))</f>
        <v/>
      </c>
      <c r="L151" s="10"/>
    </row>
    <row r="152" customFormat="false" ht="15" hidden="false" customHeight="false" outlineLevel="0" collapsed="false">
      <c r="A152" s="10"/>
      <c r="B152" s="10"/>
      <c r="C152" s="10"/>
      <c r="D152" s="11"/>
      <c r="E152" s="11"/>
      <c r="F152" s="10"/>
      <c r="G152" s="22"/>
      <c r="H152" s="22"/>
      <c r="I152" s="26" t="str">
        <f aca="false">IF(OR(G152="",H152="",G152=0),"",H152/G152)</f>
        <v/>
      </c>
      <c r="J152" s="22"/>
      <c r="K152" s="18" t="str">
        <f aca="false">IF(D152="","",IF(E152&lt;&gt;"","Completed",IF(D152&lt;Dashboard!$C$5,"Missed",IF(D152-Dashboard!$C$5&lt;=Lists!$R$5,"Due soon","Scheduled"))))</f>
        <v/>
      </c>
      <c r="L152" s="10"/>
    </row>
    <row r="153" customFormat="false" ht="15" hidden="false" customHeight="false" outlineLevel="0" collapsed="false">
      <c r="A153" s="10"/>
      <c r="B153" s="10"/>
      <c r="C153" s="10"/>
      <c r="D153" s="11"/>
      <c r="E153" s="11"/>
      <c r="F153" s="10"/>
      <c r="G153" s="22"/>
      <c r="H153" s="22"/>
      <c r="I153" s="26" t="str">
        <f aca="false">IF(OR(G153="",H153="",G153=0),"",H153/G153)</f>
        <v/>
      </c>
      <c r="J153" s="22"/>
      <c r="K153" s="18" t="str">
        <f aca="false">IF(D153="","",IF(E153&lt;&gt;"","Completed",IF(D153&lt;Dashboard!$C$5,"Missed",IF(D153-Dashboard!$C$5&lt;=Lists!$R$5,"Due soon","Scheduled"))))</f>
        <v/>
      </c>
      <c r="L153" s="10"/>
    </row>
    <row r="154" customFormat="false" ht="15" hidden="false" customHeight="false" outlineLevel="0" collapsed="false">
      <c r="A154" s="10"/>
      <c r="B154" s="10"/>
      <c r="C154" s="10"/>
      <c r="D154" s="11"/>
      <c r="E154" s="11"/>
      <c r="F154" s="10"/>
      <c r="G154" s="22"/>
      <c r="H154" s="22"/>
      <c r="I154" s="26" t="str">
        <f aca="false">IF(OR(G154="",H154="",G154=0),"",H154/G154)</f>
        <v/>
      </c>
      <c r="J154" s="22"/>
      <c r="K154" s="18" t="str">
        <f aca="false">IF(D154="","",IF(E154&lt;&gt;"","Completed",IF(D154&lt;Dashboard!$C$5,"Missed",IF(D154-Dashboard!$C$5&lt;=Lists!$R$5,"Due soon","Scheduled"))))</f>
        <v/>
      </c>
      <c r="L154" s="10"/>
    </row>
  </sheetData>
  <conditionalFormatting sqref="K5:K15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1">
      <formula>"Scheduled"</formula>
    </cfRule>
    <cfRule type="cellIs" priority="5" operator="equal" aboveAverage="0" equalAverage="0" bottom="0" percent="0" rank="0" text="" dxfId="2">
      <formula>"Missed"</formula>
    </cfRule>
  </conditionalFormatting>
  <conditionalFormatting sqref="J5:J154">
    <cfRule type="cellIs" priority="6" operator="greaterThan" aboveAverage="0" equalAverage="0" bottom="0" percent="0" rank="0" text="" dxfId="3">
      <formula>0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5:B154" type="list">
      <formula1>Lists!$D$2:$D$12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C5:C154" type="list">
      <formula1>Lists!$J$2:$J$10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9"/>
  </cols>
  <sheetData>
    <row r="1" customFormat="false" ht="19.7" hidden="false" customHeight="false" outlineLevel="0" collapsed="false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253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1.5" hidden="false" customHeight="true" outlineLevel="0" collapsed="false">
      <c r="A4" s="12" t="s">
        <v>114</v>
      </c>
      <c r="B4" s="12" t="s">
        <v>254</v>
      </c>
      <c r="C4" s="12" t="s">
        <v>255</v>
      </c>
      <c r="D4" s="12" t="s">
        <v>116</v>
      </c>
      <c r="E4" s="12" t="s">
        <v>100</v>
      </c>
      <c r="F4" s="12" t="s">
        <v>256</v>
      </c>
      <c r="G4" s="12" t="s">
        <v>257</v>
      </c>
      <c r="H4" s="12" t="s">
        <v>258</v>
      </c>
      <c r="I4" s="12" t="s">
        <v>259</v>
      </c>
      <c r="J4" s="12" t="s">
        <v>260</v>
      </c>
      <c r="K4" s="12" t="s">
        <v>124</v>
      </c>
      <c r="L4" s="12" t="s">
        <v>261</v>
      </c>
      <c r="M4" s="12" t="s">
        <v>262</v>
      </c>
      <c r="N4" s="12" t="s">
        <v>263</v>
      </c>
      <c r="O4" s="12" t="s">
        <v>264</v>
      </c>
      <c r="P4" s="12" t="s">
        <v>52</v>
      </c>
      <c r="Q4" s="12" t="s">
        <v>265</v>
      </c>
      <c r="R4" s="12" t="s">
        <v>266</v>
      </c>
    </row>
    <row r="5" customFormat="false" ht="26.85" hidden="false" customHeight="false" outlineLevel="0" collapsed="false">
      <c r="A5" s="18" t="str">
        <f aca="false">IF(B5="","","HZ-"&amp;TEXT(ROW()-4,"000"))</f>
        <v>HZ-001</v>
      </c>
      <c r="B5" s="11" t="n">
        <v>46277</v>
      </c>
      <c r="C5" s="10" t="s">
        <v>267</v>
      </c>
      <c r="D5" s="10" t="s">
        <v>139</v>
      </c>
      <c r="E5" s="10" t="s">
        <v>108</v>
      </c>
      <c r="F5" s="10" t="s">
        <v>268</v>
      </c>
      <c r="G5" s="10" t="s">
        <v>143</v>
      </c>
      <c r="H5" s="24" t="s">
        <v>269</v>
      </c>
      <c r="I5" s="10" t="s">
        <v>270</v>
      </c>
      <c r="J5" s="10" t="s">
        <v>271</v>
      </c>
      <c r="K5" s="10" t="s">
        <v>143</v>
      </c>
      <c r="L5" s="11" t="n">
        <v>46300</v>
      </c>
      <c r="M5" s="11"/>
      <c r="N5" s="24"/>
      <c r="O5" s="24"/>
      <c r="P5" s="18" t="str">
        <f aca="false">IF(B5="","",IF(AND(M5&lt;&gt;"",N5="Yes"),"Closed",IF(M5&lt;&gt;"","Awaiting verification",IF(L5="","No deadline",IF(L5&lt;Dashboard!$C$5,"Overdue",IF(L5-Dashboard!$C$5&lt;=Lists!$R$5,"Due soon","Open"))))))</f>
        <v>Overdue</v>
      </c>
      <c r="Q5" s="18" t="str">
        <f aca="false">IF(B5="","",IF(P5="Closed","—",IF(OR(H5="Critical",P5="Overdue"),"ESCALATE","—")))</f>
        <v>ESCALATE</v>
      </c>
      <c r="R5" s="21" t="n">
        <f aca="false">IF(B5="","",IF(M5&lt;&gt;"",M5,Dashboard!$C$5)-B5)</f>
        <v>28</v>
      </c>
    </row>
    <row r="6" customFormat="false" ht="39.55" hidden="false" customHeight="false" outlineLevel="0" collapsed="false">
      <c r="A6" s="18" t="str">
        <f aca="false">IF(B6="","","HZ-"&amp;TEXT(ROW()-4,"000"))</f>
        <v>HZ-002</v>
      </c>
      <c r="B6" s="11" t="n">
        <v>46283</v>
      </c>
      <c r="C6" s="10" t="s">
        <v>144</v>
      </c>
      <c r="D6" s="10" t="s">
        <v>145</v>
      </c>
      <c r="E6" s="10" t="s">
        <v>104</v>
      </c>
      <c r="F6" s="10" t="s">
        <v>272</v>
      </c>
      <c r="G6" s="10" t="s">
        <v>149</v>
      </c>
      <c r="H6" s="24" t="s">
        <v>273</v>
      </c>
      <c r="I6" s="10" t="s">
        <v>274</v>
      </c>
      <c r="J6" s="10" t="s">
        <v>275</v>
      </c>
      <c r="K6" s="10" t="s">
        <v>155</v>
      </c>
      <c r="L6" s="11" t="n">
        <v>46285</v>
      </c>
      <c r="M6" s="11" t="n">
        <v>46284</v>
      </c>
      <c r="N6" s="24" t="s">
        <v>209</v>
      </c>
      <c r="O6" s="24" t="s">
        <v>209</v>
      </c>
      <c r="P6" s="18" t="str">
        <f aca="false">IF(B6="","",IF(AND(M6&lt;&gt;"",N6="Yes"),"Closed",IF(M6&lt;&gt;"","Awaiting verification",IF(L6="","No deadline",IF(L6&lt;Dashboard!$C$5,"Overdue",IF(L6-Dashboard!$C$5&lt;=Lists!$R$5,"Due soon","Open"))))))</f>
        <v>Closed</v>
      </c>
      <c r="Q6" s="18" t="str">
        <f aca="false">IF(B6="","",IF(P6="Closed","—",IF(OR(H6="Critical",P6="Overdue"),"ESCALATE","—")))</f>
        <v>—</v>
      </c>
      <c r="R6" s="21" t="n">
        <f aca="false">IF(B6="","",IF(M6&lt;&gt;"",M6,Dashboard!$C$5)-B6)</f>
        <v>1</v>
      </c>
    </row>
    <row r="7" customFormat="false" ht="39.55" hidden="false" customHeight="false" outlineLevel="0" collapsed="false">
      <c r="A7" s="18" t="str">
        <f aca="false">IF(B7="","","HZ-"&amp;TEXT(ROW()-4,"000"))</f>
        <v>HZ-003</v>
      </c>
      <c r="B7" s="11" t="n">
        <v>46302</v>
      </c>
      <c r="C7" s="10" t="s">
        <v>276</v>
      </c>
      <c r="D7" s="10" t="s">
        <v>244</v>
      </c>
      <c r="E7" s="10" t="s">
        <v>111</v>
      </c>
      <c r="F7" s="10" t="s">
        <v>277</v>
      </c>
      <c r="G7" s="10" t="s">
        <v>182</v>
      </c>
      <c r="H7" s="24" t="s">
        <v>273</v>
      </c>
      <c r="I7" s="10" t="s">
        <v>278</v>
      </c>
      <c r="J7" s="10" t="s">
        <v>279</v>
      </c>
      <c r="K7" s="10" t="s">
        <v>155</v>
      </c>
      <c r="L7" s="11" t="n">
        <v>46316</v>
      </c>
      <c r="M7" s="11"/>
      <c r="N7" s="24"/>
      <c r="O7" s="24"/>
      <c r="P7" s="18" t="str">
        <f aca="false">IF(B7="","",IF(AND(M7&lt;&gt;"",N7="Yes"),"Closed",IF(M7&lt;&gt;"","Awaiting verification",IF(L7="","No deadline",IF(L7&lt;Dashboard!$C$5,"Overdue",IF(L7-Dashboard!$C$5&lt;=Lists!$R$5,"Due soon","Open"))))))</f>
        <v>Due soon</v>
      </c>
      <c r="Q7" s="18" t="str">
        <f aca="false">IF(B7="","",IF(P7="Closed","—",IF(OR(H7="Critical",P7="Overdue"),"ESCALATE","—")))</f>
        <v>ESCALATE</v>
      </c>
      <c r="R7" s="21" t="n">
        <f aca="false">IF(B7="","",IF(M7&lt;&gt;"",M7,Dashboard!$C$5)-B7)</f>
        <v>3</v>
      </c>
    </row>
    <row r="8" customFormat="false" ht="26.85" hidden="false" customHeight="false" outlineLevel="0" collapsed="false">
      <c r="A8" s="18" t="str">
        <f aca="false">IF(B8="","","HZ-"&amp;TEXT(ROW()-4,"000"))</f>
        <v>HZ-004</v>
      </c>
      <c r="B8" s="11" t="n">
        <v>46302</v>
      </c>
      <c r="C8" s="10" t="s">
        <v>280</v>
      </c>
      <c r="D8" s="10" t="s">
        <v>244</v>
      </c>
      <c r="E8" s="10" t="s">
        <v>105</v>
      </c>
      <c r="F8" s="10" t="s">
        <v>281</v>
      </c>
      <c r="G8" s="10" t="s">
        <v>182</v>
      </c>
      <c r="H8" s="24" t="s">
        <v>282</v>
      </c>
      <c r="I8" s="10" t="s">
        <v>283</v>
      </c>
      <c r="J8" s="10" t="s">
        <v>284</v>
      </c>
      <c r="K8" s="10" t="s">
        <v>285</v>
      </c>
      <c r="L8" s="11" t="n">
        <v>46309</v>
      </c>
      <c r="M8" s="11" t="n">
        <v>46304</v>
      </c>
      <c r="N8" s="24"/>
      <c r="O8" s="24"/>
      <c r="P8" s="18" t="str">
        <f aca="false">IF(B8="","",IF(AND(M8&lt;&gt;"",N8="Yes"),"Closed",IF(M8&lt;&gt;"","Awaiting verification",IF(L8="","No deadline",IF(L8&lt;Dashboard!$C$5,"Overdue",IF(L8-Dashboard!$C$5&lt;=Lists!$R$5,"Due soon","Open"))))))</f>
        <v>Awaiting verification</v>
      </c>
      <c r="Q8" s="18" t="str">
        <f aca="false">IF(B8="","",IF(P8="Closed","—",IF(OR(H8="Critical",P8="Overdue"),"ESCALATE","—")))</f>
        <v>—</v>
      </c>
      <c r="R8" s="21" t="n">
        <f aca="false">IF(B8="","",IF(M8&lt;&gt;"",M8,Dashboard!$C$5)-B8)</f>
        <v>2</v>
      </c>
    </row>
    <row r="9" customFormat="false" ht="26.85" hidden="false" customHeight="false" outlineLevel="0" collapsed="false">
      <c r="A9" s="18" t="str">
        <f aca="false">IF(B9="","","HZ-"&amp;TEXT(ROW()-4,"000"))</f>
        <v>HZ-005</v>
      </c>
      <c r="B9" s="11" t="n">
        <v>46297</v>
      </c>
      <c r="C9" s="10" t="s">
        <v>286</v>
      </c>
      <c r="D9" s="10" t="s">
        <v>287</v>
      </c>
      <c r="E9" s="10" t="s">
        <v>110</v>
      </c>
      <c r="F9" s="10" t="s">
        <v>288</v>
      </c>
      <c r="G9" s="10" t="s">
        <v>289</v>
      </c>
      <c r="H9" s="24" t="s">
        <v>282</v>
      </c>
      <c r="I9" s="10" t="s">
        <v>290</v>
      </c>
      <c r="J9" s="10" t="s">
        <v>291</v>
      </c>
      <c r="K9" s="10" t="s">
        <v>160</v>
      </c>
      <c r="L9" s="11" t="n">
        <v>46311</v>
      </c>
      <c r="M9" s="11"/>
      <c r="N9" s="24"/>
      <c r="O9" s="24"/>
      <c r="P9" s="18" t="str">
        <f aca="false">IF(B9="","",IF(AND(M9&lt;&gt;"",N9="Yes"),"Closed",IF(M9&lt;&gt;"","Awaiting verification",IF(L9="","No deadline",IF(L9&lt;Dashboard!$C$5,"Overdue",IF(L9-Dashboard!$C$5&lt;=Lists!$R$5,"Due soon","Open"))))))</f>
        <v>Due soon</v>
      </c>
      <c r="Q9" s="18" t="str">
        <f aca="false">IF(B9="","",IF(P9="Closed","—",IF(OR(H9="Critical",P9="Overdue"),"ESCALATE","—")))</f>
        <v>—</v>
      </c>
      <c r="R9" s="21" t="n">
        <f aca="false">IF(B9="","",IF(M9&lt;&gt;"",M9,Dashboard!$C$5)-B9)</f>
        <v>8</v>
      </c>
    </row>
    <row r="10" customFormat="false" ht="15" hidden="false" customHeight="false" outlineLevel="0" collapsed="false">
      <c r="A10" s="18" t="str">
        <f aca="false">IF(B10="","","HZ-"&amp;TEXT(ROW()-4,"000"))</f>
        <v/>
      </c>
      <c r="B10" s="11"/>
      <c r="C10" s="10"/>
      <c r="D10" s="10"/>
      <c r="E10" s="10"/>
      <c r="F10" s="10"/>
      <c r="G10" s="10"/>
      <c r="H10" s="24"/>
      <c r="I10" s="10"/>
      <c r="J10" s="10"/>
      <c r="K10" s="10"/>
      <c r="L10" s="11"/>
      <c r="M10" s="11"/>
      <c r="N10" s="24"/>
      <c r="O10" s="24"/>
      <c r="P10" s="18" t="str">
        <f aca="false">IF(B10="","",IF(AND(M10&lt;&gt;"",N10="Yes"),"Closed",IF(M10&lt;&gt;"","Awaiting verification",IF(L10="","No deadline",IF(L10&lt;Dashboard!$C$5,"Overdue",IF(L10-Dashboard!$C$5&lt;=Lists!$R$5,"Due soon","Open"))))))</f>
        <v/>
      </c>
      <c r="Q10" s="18" t="str">
        <f aca="false">IF(B10="","",IF(P10="Closed","—",IF(OR(H10="Critical",P10="Overdue"),"ESCALATE","—")))</f>
        <v/>
      </c>
      <c r="R10" s="21" t="str">
        <f aca="false">IF(B10="","",IF(M10&lt;&gt;"",M10,Dashboard!$C$5)-B10)</f>
        <v/>
      </c>
    </row>
    <row r="11" customFormat="false" ht="15" hidden="false" customHeight="false" outlineLevel="0" collapsed="false">
      <c r="A11" s="18" t="str">
        <f aca="false">IF(B11="","","HZ-"&amp;TEXT(ROW()-4,"000"))</f>
        <v/>
      </c>
      <c r="B11" s="11"/>
      <c r="C11" s="10"/>
      <c r="D11" s="10"/>
      <c r="E11" s="10"/>
      <c r="F11" s="10"/>
      <c r="G11" s="10"/>
      <c r="H11" s="24"/>
      <c r="I11" s="10"/>
      <c r="J11" s="10"/>
      <c r="K11" s="10"/>
      <c r="L11" s="11"/>
      <c r="M11" s="11"/>
      <c r="N11" s="24"/>
      <c r="O11" s="24"/>
      <c r="P11" s="18" t="str">
        <f aca="false">IF(B11="","",IF(AND(M11&lt;&gt;"",N11="Yes"),"Closed",IF(M11&lt;&gt;"","Awaiting verification",IF(L11="","No deadline",IF(L11&lt;Dashboard!$C$5,"Overdue",IF(L11-Dashboard!$C$5&lt;=Lists!$R$5,"Due soon","Open"))))))</f>
        <v/>
      </c>
      <c r="Q11" s="18" t="str">
        <f aca="false">IF(B11="","",IF(P11="Closed","—",IF(OR(H11="Critical",P11="Overdue"),"ESCALATE","—")))</f>
        <v/>
      </c>
      <c r="R11" s="21" t="str">
        <f aca="false">IF(B11="","",IF(M11&lt;&gt;"",M11,Dashboard!$C$5)-B11)</f>
        <v/>
      </c>
    </row>
    <row r="12" customFormat="false" ht="15" hidden="false" customHeight="false" outlineLevel="0" collapsed="false">
      <c r="A12" s="18" t="str">
        <f aca="false">IF(B12="","","HZ-"&amp;TEXT(ROW()-4,"000"))</f>
        <v/>
      </c>
      <c r="B12" s="11"/>
      <c r="C12" s="10"/>
      <c r="D12" s="10"/>
      <c r="E12" s="10"/>
      <c r="F12" s="10"/>
      <c r="G12" s="10"/>
      <c r="H12" s="24"/>
      <c r="I12" s="10"/>
      <c r="J12" s="10"/>
      <c r="K12" s="10"/>
      <c r="L12" s="11"/>
      <c r="M12" s="11"/>
      <c r="N12" s="24"/>
      <c r="O12" s="24"/>
      <c r="P12" s="18" t="str">
        <f aca="false">IF(B12="","",IF(AND(M12&lt;&gt;"",N12="Yes"),"Closed",IF(M12&lt;&gt;"","Awaiting verification",IF(L12="","No deadline",IF(L12&lt;Dashboard!$C$5,"Overdue",IF(L12-Dashboard!$C$5&lt;=Lists!$R$5,"Due soon","Open"))))))</f>
        <v/>
      </c>
      <c r="Q12" s="18" t="str">
        <f aca="false">IF(B12="","",IF(P12="Closed","—",IF(OR(H12="Critical",P12="Overdue"),"ESCALATE","—")))</f>
        <v/>
      </c>
      <c r="R12" s="21" t="str">
        <f aca="false">IF(B12="","",IF(M12&lt;&gt;"",M12,Dashboard!$C$5)-B12)</f>
        <v/>
      </c>
    </row>
    <row r="13" customFormat="false" ht="15" hidden="false" customHeight="false" outlineLevel="0" collapsed="false">
      <c r="A13" s="18" t="str">
        <f aca="false">IF(B13="","","HZ-"&amp;TEXT(ROW()-4,"000"))</f>
        <v/>
      </c>
      <c r="B13" s="11"/>
      <c r="C13" s="10"/>
      <c r="D13" s="10"/>
      <c r="E13" s="10"/>
      <c r="F13" s="10"/>
      <c r="G13" s="10"/>
      <c r="H13" s="24"/>
      <c r="I13" s="10"/>
      <c r="J13" s="10"/>
      <c r="K13" s="10"/>
      <c r="L13" s="11"/>
      <c r="M13" s="11"/>
      <c r="N13" s="24"/>
      <c r="O13" s="24"/>
      <c r="P13" s="18" t="str">
        <f aca="false">IF(B13="","",IF(AND(M13&lt;&gt;"",N13="Yes"),"Closed",IF(M13&lt;&gt;"","Awaiting verification",IF(L13="","No deadline",IF(L13&lt;Dashboard!$C$5,"Overdue",IF(L13-Dashboard!$C$5&lt;=Lists!$R$5,"Due soon","Open"))))))</f>
        <v/>
      </c>
      <c r="Q13" s="18" t="str">
        <f aca="false">IF(B13="","",IF(P13="Closed","—",IF(OR(H13="Critical",P13="Overdue"),"ESCALATE","—")))</f>
        <v/>
      </c>
      <c r="R13" s="21" t="str">
        <f aca="false">IF(B13="","",IF(M13&lt;&gt;"",M13,Dashboard!$C$5)-B13)</f>
        <v/>
      </c>
    </row>
    <row r="14" customFormat="false" ht="15" hidden="false" customHeight="false" outlineLevel="0" collapsed="false">
      <c r="A14" s="18" t="str">
        <f aca="false">IF(B14="","","HZ-"&amp;TEXT(ROW()-4,"000"))</f>
        <v/>
      </c>
      <c r="B14" s="11"/>
      <c r="C14" s="10"/>
      <c r="D14" s="10"/>
      <c r="E14" s="10"/>
      <c r="F14" s="10"/>
      <c r="G14" s="10"/>
      <c r="H14" s="24"/>
      <c r="I14" s="10"/>
      <c r="J14" s="10"/>
      <c r="K14" s="10"/>
      <c r="L14" s="11"/>
      <c r="M14" s="11"/>
      <c r="N14" s="24"/>
      <c r="O14" s="24"/>
      <c r="P14" s="18" t="str">
        <f aca="false">IF(B14="","",IF(AND(M14&lt;&gt;"",N14="Yes"),"Closed",IF(M14&lt;&gt;"","Awaiting verification",IF(L14="","No deadline",IF(L14&lt;Dashboard!$C$5,"Overdue",IF(L14-Dashboard!$C$5&lt;=Lists!$R$5,"Due soon","Open"))))))</f>
        <v/>
      </c>
      <c r="Q14" s="18" t="str">
        <f aca="false">IF(B14="","",IF(P14="Closed","—",IF(OR(H14="Critical",P14="Overdue"),"ESCALATE","—")))</f>
        <v/>
      </c>
      <c r="R14" s="21" t="str">
        <f aca="false">IF(B14="","",IF(M14&lt;&gt;"",M14,Dashboard!$C$5)-B14)</f>
        <v/>
      </c>
    </row>
    <row r="15" customFormat="false" ht="15" hidden="false" customHeight="false" outlineLevel="0" collapsed="false">
      <c r="A15" s="18" t="str">
        <f aca="false">IF(B15="","","HZ-"&amp;TEXT(ROW()-4,"000"))</f>
        <v/>
      </c>
      <c r="B15" s="11"/>
      <c r="C15" s="10"/>
      <c r="D15" s="10"/>
      <c r="E15" s="10"/>
      <c r="F15" s="10"/>
      <c r="G15" s="10"/>
      <c r="H15" s="24"/>
      <c r="I15" s="10"/>
      <c r="J15" s="10"/>
      <c r="K15" s="10"/>
      <c r="L15" s="11"/>
      <c r="M15" s="11"/>
      <c r="N15" s="24"/>
      <c r="O15" s="24"/>
      <c r="P15" s="18" t="str">
        <f aca="false">IF(B15="","",IF(AND(M15&lt;&gt;"",N15="Yes"),"Closed",IF(M15&lt;&gt;"","Awaiting verification",IF(L15="","No deadline",IF(L15&lt;Dashboard!$C$5,"Overdue",IF(L15-Dashboard!$C$5&lt;=Lists!$R$5,"Due soon","Open"))))))</f>
        <v/>
      </c>
      <c r="Q15" s="18" t="str">
        <f aca="false">IF(B15="","",IF(P15="Closed","—",IF(OR(H15="Critical",P15="Overdue"),"ESCALATE","—")))</f>
        <v/>
      </c>
      <c r="R15" s="21" t="str">
        <f aca="false">IF(B15="","",IF(M15&lt;&gt;"",M15,Dashboard!$C$5)-B15)</f>
        <v/>
      </c>
    </row>
    <row r="16" customFormat="false" ht="15" hidden="false" customHeight="false" outlineLevel="0" collapsed="false">
      <c r="A16" s="18" t="str">
        <f aca="false">IF(B16="","","HZ-"&amp;TEXT(ROW()-4,"000"))</f>
        <v/>
      </c>
      <c r="B16" s="11"/>
      <c r="C16" s="10"/>
      <c r="D16" s="10"/>
      <c r="E16" s="10"/>
      <c r="F16" s="10"/>
      <c r="G16" s="10"/>
      <c r="H16" s="24"/>
      <c r="I16" s="10"/>
      <c r="J16" s="10"/>
      <c r="K16" s="10"/>
      <c r="L16" s="11"/>
      <c r="M16" s="11"/>
      <c r="N16" s="24"/>
      <c r="O16" s="24"/>
      <c r="P16" s="18" t="str">
        <f aca="false">IF(B16="","",IF(AND(M16&lt;&gt;"",N16="Yes"),"Closed",IF(M16&lt;&gt;"","Awaiting verification",IF(L16="","No deadline",IF(L16&lt;Dashboard!$C$5,"Overdue",IF(L16-Dashboard!$C$5&lt;=Lists!$R$5,"Due soon","Open"))))))</f>
        <v/>
      </c>
      <c r="Q16" s="18" t="str">
        <f aca="false">IF(B16="","",IF(P16="Closed","—",IF(OR(H16="Critical",P16="Overdue"),"ESCALATE","—")))</f>
        <v/>
      </c>
      <c r="R16" s="21" t="str">
        <f aca="false">IF(B16="","",IF(M16&lt;&gt;"",M16,Dashboard!$C$5)-B16)</f>
        <v/>
      </c>
    </row>
    <row r="17" customFormat="false" ht="15" hidden="false" customHeight="false" outlineLevel="0" collapsed="false">
      <c r="A17" s="18" t="str">
        <f aca="false">IF(B17="","","HZ-"&amp;TEXT(ROW()-4,"000"))</f>
        <v/>
      </c>
      <c r="B17" s="11"/>
      <c r="C17" s="10"/>
      <c r="D17" s="10"/>
      <c r="E17" s="10"/>
      <c r="F17" s="10"/>
      <c r="G17" s="10"/>
      <c r="H17" s="24"/>
      <c r="I17" s="10"/>
      <c r="J17" s="10"/>
      <c r="K17" s="10"/>
      <c r="L17" s="11"/>
      <c r="M17" s="11"/>
      <c r="N17" s="24"/>
      <c r="O17" s="24"/>
      <c r="P17" s="18" t="str">
        <f aca="false">IF(B17="","",IF(AND(M17&lt;&gt;"",N17="Yes"),"Closed",IF(M17&lt;&gt;"","Awaiting verification",IF(L17="","No deadline",IF(L17&lt;Dashboard!$C$5,"Overdue",IF(L17-Dashboard!$C$5&lt;=Lists!$R$5,"Due soon","Open"))))))</f>
        <v/>
      </c>
      <c r="Q17" s="18" t="str">
        <f aca="false">IF(B17="","",IF(P17="Closed","—",IF(OR(H17="Critical",P17="Overdue"),"ESCALATE","—")))</f>
        <v/>
      </c>
      <c r="R17" s="21" t="str">
        <f aca="false">IF(B17="","",IF(M17&lt;&gt;"",M17,Dashboard!$C$5)-B17)</f>
        <v/>
      </c>
    </row>
    <row r="18" customFormat="false" ht="15" hidden="false" customHeight="false" outlineLevel="0" collapsed="false">
      <c r="A18" s="18" t="str">
        <f aca="false">IF(B18="","","HZ-"&amp;TEXT(ROW()-4,"000"))</f>
        <v/>
      </c>
      <c r="B18" s="11"/>
      <c r="C18" s="10"/>
      <c r="D18" s="10"/>
      <c r="E18" s="10"/>
      <c r="F18" s="10"/>
      <c r="G18" s="10"/>
      <c r="H18" s="24"/>
      <c r="I18" s="10"/>
      <c r="J18" s="10"/>
      <c r="K18" s="10"/>
      <c r="L18" s="11"/>
      <c r="M18" s="11"/>
      <c r="N18" s="24"/>
      <c r="O18" s="24"/>
      <c r="P18" s="18" t="str">
        <f aca="false">IF(B18="","",IF(AND(M18&lt;&gt;"",N18="Yes"),"Closed",IF(M18&lt;&gt;"","Awaiting verification",IF(L18="","No deadline",IF(L18&lt;Dashboard!$C$5,"Overdue",IF(L18-Dashboard!$C$5&lt;=Lists!$R$5,"Due soon","Open"))))))</f>
        <v/>
      </c>
      <c r="Q18" s="18" t="str">
        <f aca="false">IF(B18="","",IF(P18="Closed","—",IF(OR(H18="Critical",P18="Overdue"),"ESCALATE","—")))</f>
        <v/>
      </c>
      <c r="R18" s="21" t="str">
        <f aca="false">IF(B18="","",IF(M18&lt;&gt;"",M18,Dashboard!$C$5)-B18)</f>
        <v/>
      </c>
    </row>
    <row r="19" customFormat="false" ht="15" hidden="false" customHeight="false" outlineLevel="0" collapsed="false">
      <c r="A19" s="18" t="str">
        <f aca="false">IF(B19="","","HZ-"&amp;TEXT(ROW()-4,"000"))</f>
        <v/>
      </c>
      <c r="B19" s="11"/>
      <c r="C19" s="10"/>
      <c r="D19" s="10"/>
      <c r="E19" s="10"/>
      <c r="F19" s="10"/>
      <c r="G19" s="10"/>
      <c r="H19" s="24"/>
      <c r="I19" s="10"/>
      <c r="J19" s="10"/>
      <c r="K19" s="10"/>
      <c r="L19" s="11"/>
      <c r="M19" s="11"/>
      <c r="N19" s="24"/>
      <c r="O19" s="24"/>
      <c r="P19" s="18" t="str">
        <f aca="false">IF(B19="","",IF(AND(M19&lt;&gt;"",N19="Yes"),"Closed",IF(M19&lt;&gt;"","Awaiting verification",IF(L19="","No deadline",IF(L19&lt;Dashboard!$C$5,"Overdue",IF(L19-Dashboard!$C$5&lt;=Lists!$R$5,"Due soon","Open"))))))</f>
        <v/>
      </c>
      <c r="Q19" s="18" t="str">
        <f aca="false">IF(B19="","",IF(P19="Closed","—",IF(OR(H19="Critical",P19="Overdue"),"ESCALATE","—")))</f>
        <v/>
      </c>
      <c r="R19" s="21" t="str">
        <f aca="false">IF(B19="","",IF(M19&lt;&gt;"",M19,Dashboard!$C$5)-B19)</f>
        <v/>
      </c>
    </row>
    <row r="20" customFormat="false" ht="15" hidden="false" customHeight="false" outlineLevel="0" collapsed="false">
      <c r="A20" s="18" t="str">
        <f aca="false">IF(B20="","","HZ-"&amp;TEXT(ROW()-4,"000"))</f>
        <v/>
      </c>
      <c r="B20" s="11"/>
      <c r="C20" s="10"/>
      <c r="D20" s="10"/>
      <c r="E20" s="10"/>
      <c r="F20" s="10"/>
      <c r="G20" s="10"/>
      <c r="H20" s="24"/>
      <c r="I20" s="10"/>
      <c r="J20" s="10"/>
      <c r="K20" s="10"/>
      <c r="L20" s="11"/>
      <c r="M20" s="11"/>
      <c r="N20" s="24"/>
      <c r="O20" s="24"/>
      <c r="P20" s="18" t="str">
        <f aca="false">IF(B20="","",IF(AND(M20&lt;&gt;"",N20="Yes"),"Closed",IF(M20&lt;&gt;"","Awaiting verification",IF(L20="","No deadline",IF(L20&lt;Dashboard!$C$5,"Overdue",IF(L20-Dashboard!$C$5&lt;=Lists!$R$5,"Due soon","Open"))))))</f>
        <v/>
      </c>
      <c r="Q20" s="18" t="str">
        <f aca="false">IF(B20="","",IF(P20="Closed","—",IF(OR(H20="Critical",P20="Overdue"),"ESCALATE","—")))</f>
        <v/>
      </c>
      <c r="R20" s="21" t="str">
        <f aca="false">IF(B20="","",IF(M20&lt;&gt;"",M20,Dashboard!$C$5)-B20)</f>
        <v/>
      </c>
    </row>
    <row r="21" customFormat="false" ht="15" hidden="false" customHeight="false" outlineLevel="0" collapsed="false">
      <c r="A21" s="18" t="str">
        <f aca="false">IF(B21="","","HZ-"&amp;TEXT(ROW()-4,"000"))</f>
        <v/>
      </c>
      <c r="B21" s="11"/>
      <c r="C21" s="10"/>
      <c r="D21" s="10"/>
      <c r="E21" s="10"/>
      <c r="F21" s="10"/>
      <c r="G21" s="10"/>
      <c r="H21" s="24"/>
      <c r="I21" s="10"/>
      <c r="J21" s="10"/>
      <c r="K21" s="10"/>
      <c r="L21" s="11"/>
      <c r="M21" s="11"/>
      <c r="N21" s="24"/>
      <c r="O21" s="24"/>
      <c r="P21" s="18" t="str">
        <f aca="false">IF(B21="","",IF(AND(M21&lt;&gt;"",N21="Yes"),"Closed",IF(M21&lt;&gt;"","Awaiting verification",IF(L21="","No deadline",IF(L21&lt;Dashboard!$C$5,"Overdue",IF(L21-Dashboard!$C$5&lt;=Lists!$R$5,"Due soon","Open"))))))</f>
        <v/>
      </c>
      <c r="Q21" s="18" t="str">
        <f aca="false">IF(B21="","",IF(P21="Closed","—",IF(OR(H21="Critical",P21="Overdue"),"ESCALATE","—")))</f>
        <v/>
      </c>
      <c r="R21" s="21" t="str">
        <f aca="false">IF(B21="","",IF(M21&lt;&gt;"",M21,Dashboard!$C$5)-B21)</f>
        <v/>
      </c>
    </row>
    <row r="22" customFormat="false" ht="15" hidden="false" customHeight="false" outlineLevel="0" collapsed="false">
      <c r="A22" s="18" t="str">
        <f aca="false">IF(B22="","","HZ-"&amp;TEXT(ROW()-4,"000"))</f>
        <v/>
      </c>
      <c r="B22" s="11"/>
      <c r="C22" s="10"/>
      <c r="D22" s="10"/>
      <c r="E22" s="10"/>
      <c r="F22" s="10"/>
      <c r="G22" s="10"/>
      <c r="H22" s="24"/>
      <c r="I22" s="10"/>
      <c r="J22" s="10"/>
      <c r="K22" s="10"/>
      <c r="L22" s="11"/>
      <c r="M22" s="11"/>
      <c r="N22" s="24"/>
      <c r="O22" s="24"/>
      <c r="P22" s="18" t="str">
        <f aca="false">IF(B22="","",IF(AND(M22&lt;&gt;"",N22="Yes"),"Closed",IF(M22&lt;&gt;"","Awaiting verification",IF(L22="","No deadline",IF(L22&lt;Dashboard!$C$5,"Overdue",IF(L22-Dashboard!$C$5&lt;=Lists!$R$5,"Due soon","Open"))))))</f>
        <v/>
      </c>
      <c r="Q22" s="18" t="str">
        <f aca="false">IF(B22="","",IF(P22="Closed","—",IF(OR(H22="Critical",P22="Overdue"),"ESCALATE","—")))</f>
        <v/>
      </c>
      <c r="R22" s="21" t="str">
        <f aca="false">IF(B22="","",IF(M22&lt;&gt;"",M22,Dashboard!$C$5)-B22)</f>
        <v/>
      </c>
    </row>
    <row r="23" customFormat="false" ht="15" hidden="false" customHeight="false" outlineLevel="0" collapsed="false">
      <c r="A23" s="18" t="str">
        <f aca="false">IF(B23="","","HZ-"&amp;TEXT(ROW()-4,"000"))</f>
        <v/>
      </c>
      <c r="B23" s="11"/>
      <c r="C23" s="10"/>
      <c r="D23" s="10"/>
      <c r="E23" s="10"/>
      <c r="F23" s="10"/>
      <c r="G23" s="10"/>
      <c r="H23" s="24"/>
      <c r="I23" s="10"/>
      <c r="J23" s="10"/>
      <c r="K23" s="10"/>
      <c r="L23" s="11"/>
      <c r="M23" s="11"/>
      <c r="N23" s="24"/>
      <c r="O23" s="24"/>
      <c r="P23" s="18" t="str">
        <f aca="false">IF(B23="","",IF(AND(M23&lt;&gt;"",N23="Yes"),"Closed",IF(M23&lt;&gt;"","Awaiting verification",IF(L23="","No deadline",IF(L23&lt;Dashboard!$C$5,"Overdue",IF(L23-Dashboard!$C$5&lt;=Lists!$R$5,"Due soon","Open"))))))</f>
        <v/>
      </c>
      <c r="Q23" s="18" t="str">
        <f aca="false">IF(B23="","",IF(P23="Closed","—",IF(OR(H23="Critical",P23="Overdue"),"ESCALATE","—")))</f>
        <v/>
      </c>
      <c r="R23" s="21" t="str">
        <f aca="false">IF(B23="","",IF(M23&lt;&gt;"",M23,Dashboard!$C$5)-B23)</f>
        <v/>
      </c>
    </row>
    <row r="24" customFormat="false" ht="15" hidden="false" customHeight="false" outlineLevel="0" collapsed="false">
      <c r="A24" s="18" t="str">
        <f aca="false">IF(B24="","","HZ-"&amp;TEXT(ROW()-4,"000"))</f>
        <v/>
      </c>
      <c r="B24" s="11"/>
      <c r="C24" s="10"/>
      <c r="D24" s="10"/>
      <c r="E24" s="10"/>
      <c r="F24" s="10"/>
      <c r="G24" s="10"/>
      <c r="H24" s="24"/>
      <c r="I24" s="10"/>
      <c r="J24" s="10"/>
      <c r="K24" s="10"/>
      <c r="L24" s="11"/>
      <c r="M24" s="11"/>
      <c r="N24" s="24"/>
      <c r="O24" s="24"/>
      <c r="P24" s="18" t="str">
        <f aca="false">IF(B24="","",IF(AND(M24&lt;&gt;"",N24="Yes"),"Closed",IF(M24&lt;&gt;"","Awaiting verification",IF(L24="","No deadline",IF(L24&lt;Dashboard!$C$5,"Overdue",IF(L24-Dashboard!$C$5&lt;=Lists!$R$5,"Due soon","Open"))))))</f>
        <v/>
      </c>
      <c r="Q24" s="18" t="str">
        <f aca="false">IF(B24="","",IF(P24="Closed","—",IF(OR(H24="Critical",P24="Overdue"),"ESCALATE","—")))</f>
        <v/>
      </c>
      <c r="R24" s="21" t="str">
        <f aca="false">IF(B24="","",IF(M24&lt;&gt;"",M24,Dashboard!$C$5)-B24)</f>
        <v/>
      </c>
    </row>
    <row r="25" customFormat="false" ht="15" hidden="false" customHeight="false" outlineLevel="0" collapsed="false">
      <c r="A25" s="18" t="str">
        <f aca="false">IF(B25="","","HZ-"&amp;TEXT(ROW()-4,"000"))</f>
        <v/>
      </c>
      <c r="B25" s="11"/>
      <c r="C25" s="10"/>
      <c r="D25" s="10"/>
      <c r="E25" s="10"/>
      <c r="F25" s="10"/>
      <c r="G25" s="10"/>
      <c r="H25" s="24"/>
      <c r="I25" s="10"/>
      <c r="J25" s="10"/>
      <c r="K25" s="10"/>
      <c r="L25" s="11"/>
      <c r="M25" s="11"/>
      <c r="N25" s="24"/>
      <c r="O25" s="24"/>
      <c r="P25" s="18" t="str">
        <f aca="false">IF(B25="","",IF(AND(M25&lt;&gt;"",N25="Yes"),"Closed",IF(M25&lt;&gt;"","Awaiting verification",IF(L25="","No deadline",IF(L25&lt;Dashboard!$C$5,"Overdue",IF(L25-Dashboard!$C$5&lt;=Lists!$R$5,"Due soon","Open"))))))</f>
        <v/>
      </c>
      <c r="Q25" s="18" t="str">
        <f aca="false">IF(B25="","",IF(P25="Closed","—",IF(OR(H25="Critical",P25="Overdue"),"ESCALATE","—")))</f>
        <v/>
      </c>
      <c r="R25" s="21" t="str">
        <f aca="false">IF(B25="","",IF(M25&lt;&gt;"",M25,Dashboard!$C$5)-B25)</f>
        <v/>
      </c>
    </row>
    <row r="26" customFormat="false" ht="15" hidden="false" customHeight="false" outlineLevel="0" collapsed="false">
      <c r="A26" s="18" t="str">
        <f aca="false">IF(B26="","","HZ-"&amp;TEXT(ROW()-4,"000"))</f>
        <v/>
      </c>
      <c r="B26" s="11"/>
      <c r="C26" s="10"/>
      <c r="D26" s="10"/>
      <c r="E26" s="10"/>
      <c r="F26" s="10"/>
      <c r="G26" s="10"/>
      <c r="H26" s="24"/>
      <c r="I26" s="10"/>
      <c r="J26" s="10"/>
      <c r="K26" s="10"/>
      <c r="L26" s="11"/>
      <c r="M26" s="11"/>
      <c r="N26" s="24"/>
      <c r="O26" s="24"/>
      <c r="P26" s="18" t="str">
        <f aca="false">IF(B26="","",IF(AND(M26&lt;&gt;"",N26="Yes"),"Closed",IF(M26&lt;&gt;"","Awaiting verification",IF(L26="","No deadline",IF(L26&lt;Dashboard!$C$5,"Overdue",IF(L26-Dashboard!$C$5&lt;=Lists!$R$5,"Due soon","Open"))))))</f>
        <v/>
      </c>
      <c r="Q26" s="18" t="str">
        <f aca="false">IF(B26="","",IF(P26="Closed","—",IF(OR(H26="Critical",P26="Overdue"),"ESCALATE","—")))</f>
        <v/>
      </c>
      <c r="R26" s="21" t="str">
        <f aca="false">IF(B26="","",IF(M26&lt;&gt;"",M26,Dashboard!$C$5)-B26)</f>
        <v/>
      </c>
    </row>
    <row r="27" customFormat="false" ht="15" hidden="false" customHeight="false" outlineLevel="0" collapsed="false">
      <c r="A27" s="18" t="str">
        <f aca="false">IF(B27="","","HZ-"&amp;TEXT(ROW()-4,"000"))</f>
        <v/>
      </c>
      <c r="B27" s="11"/>
      <c r="C27" s="10"/>
      <c r="D27" s="10"/>
      <c r="E27" s="10"/>
      <c r="F27" s="10"/>
      <c r="G27" s="10"/>
      <c r="H27" s="24"/>
      <c r="I27" s="10"/>
      <c r="J27" s="10"/>
      <c r="K27" s="10"/>
      <c r="L27" s="11"/>
      <c r="M27" s="11"/>
      <c r="N27" s="24"/>
      <c r="O27" s="24"/>
      <c r="P27" s="18" t="str">
        <f aca="false">IF(B27="","",IF(AND(M27&lt;&gt;"",N27="Yes"),"Closed",IF(M27&lt;&gt;"","Awaiting verification",IF(L27="","No deadline",IF(L27&lt;Dashboard!$C$5,"Overdue",IF(L27-Dashboard!$C$5&lt;=Lists!$R$5,"Due soon","Open"))))))</f>
        <v/>
      </c>
      <c r="Q27" s="18" t="str">
        <f aca="false">IF(B27="","",IF(P27="Closed","—",IF(OR(H27="Critical",P27="Overdue"),"ESCALATE","—")))</f>
        <v/>
      </c>
      <c r="R27" s="21" t="str">
        <f aca="false">IF(B27="","",IF(M27&lt;&gt;"",M27,Dashboard!$C$5)-B27)</f>
        <v/>
      </c>
    </row>
    <row r="28" customFormat="false" ht="15" hidden="false" customHeight="false" outlineLevel="0" collapsed="false">
      <c r="A28" s="18" t="str">
        <f aca="false">IF(B28="","","HZ-"&amp;TEXT(ROW()-4,"000"))</f>
        <v/>
      </c>
      <c r="B28" s="11"/>
      <c r="C28" s="10"/>
      <c r="D28" s="10"/>
      <c r="E28" s="10"/>
      <c r="F28" s="10"/>
      <c r="G28" s="10"/>
      <c r="H28" s="24"/>
      <c r="I28" s="10"/>
      <c r="J28" s="10"/>
      <c r="K28" s="10"/>
      <c r="L28" s="11"/>
      <c r="M28" s="11"/>
      <c r="N28" s="24"/>
      <c r="O28" s="24"/>
      <c r="P28" s="18" t="str">
        <f aca="false">IF(B28="","",IF(AND(M28&lt;&gt;"",N28="Yes"),"Closed",IF(M28&lt;&gt;"","Awaiting verification",IF(L28="","No deadline",IF(L28&lt;Dashboard!$C$5,"Overdue",IF(L28-Dashboard!$C$5&lt;=Lists!$R$5,"Due soon","Open"))))))</f>
        <v/>
      </c>
      <c r="Q28" s="18" t="str">
        <f aca="false">IF(B28="","",IF(P28="Closed","—",IF(OR(H28="Critical",P28="Overdue"),"ESCALATE","—")))</f>
        <v/>
      </c>
      <c r="R28" s="21" t="str">
        <f aca="false">IF(B28="","",IF(M28&lt;&gt;"",M28,Dashboard!$C$5)-B28)</f>
        <v/>
      </c>
    </row>
    <row r="29" customFormat="false" ht="15" hidden="false" customHeight="false" outlineLevel="0" collapsed="false">
      <c r="A29" s="18" t="str">
        <f aca="false">IF(B29="","","HZ-"&amp;TEXT(ROW()-4,"000"))</f>
        <v/>
      </c>
      <c r="B29" s="11"/>
      <c r="C29" s="10"/>
      <c r="D29" s="10"/>
      <c r="E29" s="10"/>
      <c r="F29" s="10"/>
      <c r="G29" s="10"/>
      <c r="H29" s="24"/>
      <c r="I29" s="10"/>
      <c r="J29" s="10"/>
      <c r="K29" s="10"/>
      <c r="L29" s="11"/>
      <c r="M29" s="11"/>
      <c r="N29" s="24"/>
      <c r="O29" s="24"/>
      <c r="P29" s="18" t="str">
        <f aca="false">IF(B29="","",IF(AND(M29&lt;&gt;"",N29="Yes"),"Closed",IF(M29&lt;&gt;"","Awaiting verification",IF(L29="","No deadline",IF(L29&lt;Dashboard!$C$5,"Overdue",IF(L29-Dashboard!$C$5&lt;=Lists!$R$5,"Due soon","Open"))))))</f>
        <v/>
      </c>
      <c r="Q29" s="18" t="str">
        <f aca="false">IF(B29="","",IF(P29="Closed","—",IF(OR(H29="Critical",P29="Overdue"),"ESCALATE","—")))</f>
        <v/>
      </c>
      <c r="R29" s="21" t="str">
        <f aca="false">IF(B29="","",IF(M29&lt;&gt;"",M29,Dashboard!$C$5)-B29)</f>
        <v/>
      </c>
    </row>
    <row r="30" customFormat="false" ht="15" hidden="false" customHeight="false" outlineLevel="0" collapsed="false">
      <c r="A30" s="18" t="str">
        <f aca="false">IF(B30="","","HZ-"&amp;TEXT(ROW()-4,"000"))</f>
        <v/>
      </c>
      <c r="B30" s="11"/>
      <c r="C30" s="10"/>
      <c r="D30" s="10"/>
      <c r="E30" s="10"/>
      <c r="F30" s="10"/>
      <c r="G30" s="10"/>
      <c r="H30" s="24"/>
      <c r="I30" s="10"/>
      <c r="J30" s="10"/>
      <c r="K30" s="10"/>
      <c r="L30" s="11"/>
      <c r="M30" s="11"/>
      <c r="N30" s="24"/>
      <c r="O30" s="24"/>
      <c r="P30" s="18" t="str">
        <f aca="false">IF(B30="","",IF(AND(M30&lt;&gt;"",N30="Yes"),"Closed",IF(M30&lt;&gt;"","Awaiting verification",IF(L30="","No deadline",IF(L30&lt;Dashboard!$C$5,"Overdue",IF(L30-Dashboard!$C$5&lt;=Lists!$R$5,"Due soon","Open"))))))</f>
        <v/>
      </c>
      <c r="Q30" s="18" t="str">
        <f aca="false">IF(B30="","",IF(P30="Closed","—",IF(OR(H30="Critical",P30="Overdue"),"ESCALATE","—")))</f>
        <v/>
      </c>
      <c r="R30" s="21" t="str">
        <f aca="false">IF(B30="","",IF(M30&lt;&gt;"",M30,Dashboard!$C$5)-B30)</f>
        <v/>
      </c>
    </row>
    <row r="31" customFormat="false" ht="15" hidden="false" customHeight="false" outlineLevel="0" collapsed="false">
      <c r="A31" s="18" t="str">
        <f aca="false">IF(B31="","","HZ-"&amp;TEXT(ROW()-4,"000"))</f>
        <v/>
      </c>
      <c r="B31" s="11"/>
      <c r="C31" s="10"/>
      <c r="D31" s="10"/>
      <c r="E31" s="10"/>
      <c r="F31" s="10"/>
      <c r="G31" s="10"/>
      <c r="H31" s="24"/>
      <c r="I31" s="10"/>
      <c r="J31" s="10"/>
      <c r="K31" s="10"/>
      <c r="L31" s="11"/>
      <c r="M31" s="11"/>
      <c r="N31" s="24"/>
      <c r="O31" s="24"/>
      <c r="P31" s="18" t="str">
        <f aca="false">IF(B31="","",IF(AND(M31&lt;&gt;"",N31="Yes"),"Closed",IF(M31&lt;&gt;"","Awaiting verification",IF(L31="","No deadline",IF(L31&lt;Dashboard!$C$5,"Overdue",IF(L31-Dashboard!$C$5&lt;=Lists!$R$5,"Due soon","Open"))))))</f>
        <v/>
      </c>
      <c r="Q31" s="18" t="str">
        <f aca="false">IF(B31="","",IF(P31="Closed","—",IF(OR(H31="Critical",P31="Overdue"),"ESCALATE","—")))</f>
        <v/>
      </c>
      <c r="R31" s="21" t="str">
        <f aca="false">IF(B31="","",IF(M31&lt;&gt;"",M31,Dashboard!$C$5)-B31)</f>
        <v/>
      </c>
    </row>
    <row r="32" customFormat="false" ht="15" hidden="false" customHeight="false" outlineLevel="0" collapsed="false">
      <c r="A32" s="18" t="str">
        <f aca="false">IF(B32="","","HZ-"&amp;TEXT(ROW()-4,"000"))</f>
        <v/>
      </c>
      <c r="B32" s="11"/>
      <c r="C32" s="10"/>
      <c r="D32" s="10"/>
      <c r="E32" s="10"/>
      <c r="F32" s="10"/>
      <c r="G32" s="10"/>
      <c r="H32" s="24"/>
      <c r="I32" s="10"/>
      <c r="J32" s="10"/>
      <c r="K32" s="10"/>
      <c r="L32" s="11"/>
      <c r="M32" s="11"/>
      <c r="N32" s="24"/>
      <c r="O32" s="24"/>
      <c r="P32" s="18" t="str">
        <f aca="false">IF(B32="","",IF(AND(M32&lt;&gt;"",N32="Yes"),"Closed",IF(M32&lt;&gt;"","Awaiting verification",IF(L32="","No deadline",IF(L32&lt;Dashboard!$C$5,"Overdue",IF(L32-Dashboard!$C$5&lt;=Lists!$R$5,"Due soon","Open"))))))</f>
        <v/>
      </c>
      <c r="Q32" s="18" t="str">
        <f aca="false">IF(B32="","",IF(P32="Closed","—",IF(OR(H32="Critical",P32="Overdue"),"ESCALATE","—")))</f>
        <v/>
      </c>
      <c r="R32" s="21" t="str">
        <f aca="false">IF(B32="","",IF(M32&lt;&gt;"",M32,Dashboard!$C$5)-B32)</f>
        <v/>
      </c>
    </row>
    <row r="33" customFormat="false" ht="15" hidden="false" customHeight="false" outlineLevel="0" collapsed="false">
      <c r="A33" s="18" t="str">
        <f aca="false">IF(B33="","","HZ-"&amp;TEXT(ROW()-4,"000"))</f>
        <v/>
      </c>
      <c r="B33" s="11"/>
      <c r="C33" s="10"/>
      <c r="D33" s="10"/>
      <c r="E33" s="10"/>
      <c r="F33" s="10"/>
      <c r="G33" s="10"/>
      <c r="H33" s="24"/>
      <c r="I33" s="10"/>
      <c r="J33" s="10"/>
      <c r="K33" s="10"/>
      <c r="L33" s="11"/>
      <c r="M33" s="11"/>
      <c r="N33" s="24"/>
      <c r="O33" s="24"/>
      <c r="P33" s="18" t="str">
        <f aca="false">IF(B33="","",IF(AND(M33&lt;&gt;"",N33="Yes"),"Closed",IF(M33&lt;&gt;"","Awaiting verification",IF(L33="","No deadline",IF(L33&lt;Dashboard!$C$5,"Overdue",IF(L33-Dashboard!$C$5&lt;=Lists!$R$5,"Due soon","Open"))))))</f>
        <v/>
      </c>
      <c r="Q33" s="18" t="str">
        <f aca="false">IF(B33="","",IF(P33="Closed","—",IF(OR(H33="Critical",P33="Overdue"),"ESCALATE","—")))</f>
        <v/>
      </c>
      <c r="R33" s="21" t="str">
        <f aca="false">IF(B33="","",IF(M33&lt;&gt;"",M33,Dashboard!$C$5)-B33)</f>
        <v/>
      </c>
    </row>
    <row r="34" customFormat="false" ht="15" hidden="false" customHeight="false" outlineLevel="0" collapsed="false">
      <c r="A34" s="18" t="str">
        <f aca="false">IF(B34="","","HZ-"&amp;TEXT(ROW()-4,"000"))</f>
        <v/>
      </c>
      <c r="B34" s="11"/>
      <c r="C34" s="10"/>
      <c r="D34" s="10"/>
      <c r="E34" s="10"/>
      <c r="F34" s="10"/>
      <c r="G34" s="10"/>
      <c r="H34" s="24"/>
      <c r="I34" s="10"/>
      <c r="J34" s="10"/>
      <c r="K34" s="10"/>
      <c r="L34" s="11"/>
      <c r="M34" s="11"/>
      <c r="N34" s="24"/>
      <c r="O34" s="24"/>
      <c r="P34" s="18" t="str">
        <f aca="false">IF(B34="","",IF(AND(M34&lt;&gt;"",N34="Yes"),"Closed",IF(M34&lt;&gt;"","Awaiting verification",IF(L34="","No deadline",IF(L34&lt;Dashboard!$C$5,"Overdue",IF(L34-Dashboard!$C$5&lt;=Lists!$R$5,"Due soon","Open"))))))</f>
        <v/>
      </c>
      <c r="Q34" s="18" t="str">
        <f aca="false">IF(B34="","",IF(P34="Closed","—",IF(OR(H34="Critical",P34="Overdue"),"ESCALATE","—")))</f>
        <v/>
      </c>
      <c r="R34" s="21" t="str">
        <f aca="false">IF(B34="","",IF(M34&lt;&gt;"",M34,Dashboard!$C$5)-B34)</f>
        <v/>
      </c>
    </row>
    <row r="35" customFormat="false" ht="15" hidden="false" customHeight="false" outlineLevel="0" collapsed="false">
      <c r="A35" s="18" t="str">
        <f aca="false">IF(B35="","","HZ-"&amp;TEXT(ROW()-4,"000"))</f>
        <v/>
      </c>
      <c r="B35" s="11"/>
      <c r="C35" s="10"/>
      <c r="D35" s="10"/>
      <c r="E35" s="10"/>
      <c r="F35" s="10"/>
      <c r="G35" s="10"/>
      <c r="H35" s="24"/>
      <c r="I35" s="10"/>
      <c r="J35" s="10"/>
      <c r="K35" s="10"/>
      <c r="L35" s="11"/>
      <c r="M35" s="11"/>
      <c r="N35" s="24"/>
      <c r="O35" s="24"/>
      <c r="P35" s="18" t="str">
        <f aca="false">IF(B35="","",IF(AND(M35&lt;&gt;"",N35="Yes"),"Closed",IF(M35&lt;&gt;"","Awaiting verification",IF(L35="","No deadline",IF(L35&lt;Dashboard!$C$5,"Overdue",IF(L35-Dashboard!$C$5&lt;=Lists!$R$5,"Due soon","Open"))))))</f>
        <v/>
      </c>
      <c r="Q35" s="18" t="str">
        <f aca="false">IF(B35="","",IF(P35="Closed","—",IF(OR(H35="Critical",P35="Overdue"),"ESCALATE","—")))</f>
        <v/>
      </c>
      <c r="R35" s="21" t="str">
        <f aca="false">IF(B35="","",IF(M35&lt;&gt;"",M35,Dashboard!$C$5)-B35)</f>
        <v/>
      </c>
    </row>
    <row r="36" customFormat="false" ht="15" hidden="false" customHeight="false" outlineLevel="0" collapsed="false">
      <c r="A36" s="18" t="str">
        <f aca="false">IF(B36="","","HZ-"&amp;TEXT(ROW()-4,"000"))</f>
        <v/>
      </c>
      <c r="B36" s="11"/>
      <c r="C36" s="10"/>
      <c r="D36" s="10"/>
      <c r="E36" s="10"/>
      <c r="F36" s="10"/>
      <c r="G36" s="10"/>
      <c r="H36" s="24"/>
      <c r="I36" s="10"/>
      <c r="J36" s="10"/>
      <c r="K36" s="10"/>
      <c r="L36" s="11"/>
      <c r="M36" s="11"/>
      <c r="N36" s="24"/>
      <c r="O36" s="24"/>
      <c r="P36" s="18" t="str">
        <f aca="false">IF(B36="","",IF(AND(M36&lt;&gt;"",N36="Yes"),"Closed",IF(M36&lt;&gt;"","Awaiting verification",IF(L36="","No deadline",IF(L36&lt;Dashboard!$C$5,"Overdue",IF(L36-Dashboard!$C$5&lt;=Lists!$R$5,"Due soon","Open"))))))</f>
        <v/>
      </c>
      <c r="Q36" s="18" t="str">
        <f aca="false">IF(B36="","",IF(P36="Closed","—",IF(OR(H36="Critical",P36="Overdue"),"ESCALATE","—")))</f>
        <v/>
      </c>
      <c r="R36" s="21" t="str">
        <f aca="false">IF(B36="","",IF(M36&lt;&gt;"",M36,Dashboard!$C$5)-B36)</f>
        <v/>
      </c>
    </row>
    <row r="37" customFormat="false" ht="15" hidden="false" customHeight="false" outlineLevel="0" collapsed="false">
      <c r="A37" s="18" t="str">
        <f aca="false">IF(B37="","","HZ-"&amp;TEXT(ROW()-4,"000"))</f>
        <v/>
      </c>
      <c r="B37" s="11"/>
      <c r="C37" s="10"/>
      <c r="D37" s="10"/>
      <c r="E37" s="10"/>
      <c r="F37" s="10"/>
      <c r="G37" s="10"/>
      <c r="H37" s="24"/>
      <c r="I37" s="10"/>
      <c r="J37" s="10"/>
      <c r="K37" s="10"/>
      <c r="L37" s="11"/>
      <c r="M37" s="11"/>
      <c r="N37" s="24"/>
      <c r="O37" s="24"/>
      <c r="P37" s="18" t="str">
        <f aca="false">IF(B37="","",IF(AND(M37&lt;&gt;"",N37="Yes"),"Closed",IF(M37&lt;&gt;"","Awaiting verification",IF(L37="","No deadline",IF(L37&lt;Dashboard!$C$5,"Overdue",IF(L37-Dashboard!$C$5&lt;=Lists!$R$5,"Due soon","Open"))))))</f>
        <v/>
      </c>
      <c r="Q37" s="18" t="str">
        <f aca="false">IF(B37="","",IF(P37="Closed","—",IF(OR(H37="Critical",P37="Overdue"),"ESCALATE","—")))</f>
        <v/>
      </c>
      <c r="R37" s="21" t="str">
        <f aca="false">IF(B37="","",IF(M37&lt;&gt;"",M37,Dashboard!$C$5)-B37)</f>
        <v/>
      </c>
    </row>
    <row r="38" customFormat="false" ht="15" hidden="false" customHeight="false" outlineLevel="0" collapsed="false">
      <c r="A38" s="18" t="str">
        <f aca="false">IF(B38="","","HZ-"&amp;TEXT(ROW()-4,"000"))</f>
        <v/>
      </c>
      <c r="B38" s="11"/>
      <c r="C38" s="10"/>
      <c r="D38" s="10"/>
      <c r="E38" s="10"/>
      <c r="F38" s="10"/>
      <c r="G38" s="10"/>
      <c r="H38" s="24"/>
      <c r="I38" s="10"/>
      <c r="J38" s="10"/>
      <c r="K38" s="10"/>
      <c r="L38" s="11"/>
      <c r="M38" s="11"/>
      <c r="N38" s="24"/>
      <c r="O38" s="24"/>
      <c r="P38" s="18" t="str">
        <f aca="false">IF(B38="","",IF(AND(M38&lt;&gt;"",N38="Yes"),"Closed",IF(M38&lt;&gt;"","Awaiting verification",IF(L38="","No deadline",IF(L38&lt;Dashboard!$C$5,"Overdue",IF(L38-Dashboard!$C$5&lt;=Lists!$R$5,"Due soon","Open"))))))</f>
        <v/>
      </c>
      <c r="Q38" s="18" t="str">
        <f aca="false">IF(B38="","",IF(P38="Closed","—",IF(OR(H38="Critical",P38="Overdue"),"ESCALATE","—")))</f>
        <v/>
      </c>
      <c r="R38" s="21" t="str">
        <f aca="false">IF(B38="","",IF(M38&lt;&gt;"",M38,Dashboard!$C$5)-B38)</f>
        <v/>
      </c>
    </row>
    <row r="39" customFormat="false" ht="15" hidden="false" customHeight="false" outlineLevel="0" collapsed="false">
      <c r="A39" s="18" t="str">
        <f aca="false">IF(B39="","","HZ-"&amp;TEXT(ROW()-4,"000"))</f>
        <v/>
      </c>
      <c r="B39" s="11"/>
      <c r="C39" s="10"/>
      <c r="D39" s="10"/>
      <c r="E39" s="10"/>
      <c r="F39" s="10"/>
      <c r="G39" s="10"/>
      <c r="H39" s="24"/>
      <c r="I39" s="10"/>
      <c r="J39" s="10"/>
      <c r="K39" s="10"/>
      <c r="L39" s="11"/>
      <c r="M39" s="11"/>
      <c r="N39" s="24"/>
      <c r="O39" s="24"/>
      <c r="P39" s="18" t="str">
        <f aca="false">IF(B39="","",IF(AND(M39&lt;&gt;"",N39="Yes"),"Closed",IF(M39&lt;&gt;"","Awaiting verification",IF(L39="","No deadline",IF(L39&lt;Dashboard!$C$5,"Overdue",IF(L39-Dashboard!$C$5&lt;=Lists!$R$5,"Due soon","Open"))))))</f>
        <v/>
      </c>
      <c r="Q39" s="18" t="str">
        <f aca="false">IF(B39="","",IF(P39="Closed","—",IF(OR(H39="Critical",P39="Overdue"),"ESCALATE","—")))</f>
        <v/>
      </c>
      <c r="R39" s="21" t="str">
        <f aca="false">IF(B39="","",IF(M39&lt;&gt;"",M39,Dashboard!$C$5)-B39)</f>
        <v/>
      </c>
    </row>
    <row r="40" customFormat="false" ht="15" hidden="false" customHeight="false" outlineLevel="0" collapsed="false">
      <c r="A40" s="18" t="str">
        <f aca="false">IF(B40="","","HZ-"&amp;TEXT(ROW()-4,"000"))</f>
        <v/>
      </c>
      <c r="B40" s="11"/>
      <c r="C40" s="10"/>
      <c r="D40" s="10"/>
      <c r="E40" s="10"/>
      <c r="F40" s="10"/>
      <c r="G40" s="10"/>
      <c r="H40" s="24"/>
      <c r="I40" s="10"/>
      <c r="J40" s="10"/>
      <c r="K40" s="10"/>
      <c r="L40" s="11"/>
      <c r="M40" s="11"/>
      <c r="N40" s="24"/>
      <c r="O40" s="24"/>
      <c r="P40" s="18" t="str">
        <f aca="false">IF(B40="","",IF(AND(M40&lt;&gt;"",N40="Yes"),"Closed",IF(M40&lt;&gt;"","Awaiting verification",IF(L40="","No deadline",IF(L40&lt;Dashboard!$C$5,"Overdue",IF(L40-Dashboard!$C$5&lt;=Lists!$R$5,"Due soon","Open"))))))</f>
        <v/>
      </c>
      <c r="Q40" s="18" t="str">
        <f aca="false">IF(B40="","",IF(P40="Closed","—",IF(OR(H40="Critical",P40="Overdue"),"ESCALATE","—")))</f>
        <v/>
      </c>
      <c r="R40" s="21" t="str">
        <f aca="false">IF(B40="","",IF(M40&lt;&gt;"",M40,Dashboard!$C$5)-B40)</f>
        <v/>
      </c>
    </row>
    <row r="41" customFormat="false" ht="15" hidden="false" customHeight="false" outlineLevel="0" collapsed="false">
      <c r="A41" s="18" t="str">
        <f aca="false">IF(B41="","","HZ-"&amp;TEXT(ROW()-4,"000"))</f>
        <v/>
      </c>
      <c r="B41" s="11"/>
      <c r="C41" s="10"/>
      <c r="D41" s="10"/>
      <c r="E41" s="10"/>
      <c r="F41" s="10"/>
      <c r="G41" s="10"/>
      <c r="H41" s="24"/>
      <c r="I41" s="10"/>
      <c r="J41" s="10"/>
      <c r="K41" s="10"/>
      <c r="L41" s="11"/>
      <c r="M41" s="11"/>
      <c r="N41" s="24"/>
      <c r="O41" s="24"/>
      <c r="P41" s="18" t="str">
        <f aca="false">IF(B41="","",IF(AND(M41&lt;&gt;"",N41="Yes"),"Closed",IF(M41&lt;&gt;"","Awaiting verification",IF(L41="","No deadline",IF(L41&lt;Dashboard!$C$5,"Overdue",IF(L41-Dashboard!$C$5&lt;=Lists!$R$5,"Due soon","Open"))))))</f>
        <v/>
      </c>
      <c r="Q41" s="18" t="str">
        <f aca="false">IF(B41="","",IF(P41="Closed","—",IF(OR(H41="Critical",P41="Overdue"),"ESCALATE","—")))</f>
        <v/>
      </c>
      <c r="R41" s="21" t="str">
        <f aca="false">IF(B41="","",IF(M41&lt;&gt;"",M41,Dashboard!$C$5)-B41)</f>
        <v/>
      </c>
    </row>
    <row r="42" customFormat="false" ht="15" hidden="false" customHeight="false" outlineLevel="0" collapsed="false">
      <c r="A42" s="18" t="str">
        <f aca="false">IF(B42="","","HZ-"&amp;TEXT(ROW()-4,"000"))</f>
        <v/>
      </c>
      <c r="B42" s="11"/>
      <c r="C42" s="10"/>
      <c r="D42" s="10"/>
      <c r="E42" s="10"/>
      <c r="F42" s="10"/>
      <c r="G42" s="10"/>
      <c r="H42" s="24"/>
      <c r="I42" s="10"/>
      <c r="J42" s="10"/>
      <c r="K42" s="10"/>
      <c r="L42" s="11"/>
      <c r="M42" s="11"/>
      <c r="N42" s="24"/>
      <c r="O42" s="24"/>
      <c r="P42" s="18" t="str">
        <f aca="false">IF(B42="","",IF(AND(M42&lt;&gt;"",N42="Yes"),"Closed",IF(M42&lt;&gt;"","Awaiting verification",IF(L42="","No deadline",IF(L42&lt;Dashboard!$C$5,"Overdue",IF(L42-Dashboard!$C$5&lt;=Lists!$R$5,"Due soon","Open"))))))</f>
        <v/>
      </c>
      <c r="Q42" s="18" t="str">
        <f aca="false">IF(B42="","",IF(P42="Closed","—",IF(OR(H42="Critical",P42="Overdue"),"ESCALATE","—")))</f>
        <v/>
      </c>
      <c r="R42" s="21" t="str">
        <f aca="false">IF(B42="","",IF(M42&lt;&gt;"",M42,Dashboard!$C$5)-B42)</f>
        <v/>
      </c>
    </row>
    <row r="43" customFormat="false" ht="15" hidden="false" customHeight="false" outlineLevel="0" collapsed="false">
      <c r="A43" s="18" t="str">
        <f aca="false">IF(B43="","","HZ-"&amp;TEXT(ROW()-4,"000"))</f>
        <v/>
      </c>
      <c r="B43" s="11"/>
      <c r="C43" s="10"/>
      <c r="D43" s="10"/>
      <c r="E43" s="10"/>
      <c r="F43" s="10"/>
      <c r="G43" s="10"/>
      <c r="H43" s="24"/>
      <c r="I43" s="10"/>
      <c r="J43" s="10"/>
      <c r="K43" s="10"/>
      <c r="L43" s="11"/>
      <c r="M43" s="11"/>
      <c r="N43" s="24"/>
      <c r="O43" s="24"/>
      <c r="P43" s="18" t="str">
        <f aca="false">IF(B43="","",IF(AND(M43&lt;&gt;"",N43="Yes"),"Closed",IF(M43&lt;&gt;"","Awaiting verification",IF(L43="","No deadline",IF(L43&lt;Dashboard!$C$5,"Overdue",IF(L43-Dashboard!$C$5&lt;=Lists!$R$5,"Due soon","Open"))))))</f>
        <v/>
      </c>
      <c r="Q43" s="18" t="str">
        <f aca="false">IF(B43="","",IF(P43="Closed","—",IF(OR(H43="Critical",P43="Overdue"),"ESCALATE","—")))</f>
        <v/>
      </c>
      <c r="R43" s="21" t="str">
        <f aca="false">IF(B43="","",IF(M43&lt;&gt;"",M43,Dashboard!$C$5)-B43)</f>
        <v/>
      </c>
    </row>
    <row r="44" customFormat="false" ht="15" hidden="false" customHeight="false" outlineLevel="0" collapsed="false">
      <c r="A44" s="18" t="str">
        <f aca="false">IF(B44="","","HZ-"&amp;TEXT(ROW()-4,"000"))</f>
        <v/>
      </c>
      <c r="B44" s="11"/>
      <c r="C44" s="10"/>
      <c r="D44" s="10"/>
      <c r="E44" s="10"/>
      <c r="F44" s="10"/>
      <c r="G44" s="10"/>
      <c r="H44" s="24"/>
      <c r="I44" s="10"/>
      <c r="J44" s="10"/>
      <c r="K44" s="10"/>
      <c r="L44" s="11"/>
      <c r="M44" s="11"/>
      <c r="N44" s="24"/>
      <c r="O44" s="24"/>
      <c r="P44" s="18" t="str">
        <f aca="false">IF(B44="","",IF(AND(M44&lt;&gt;"",N44="Yes"),"Closed",IF(M44&lt;&gt;"","Awaiting verification",IF(L44="","No deadline",IF(L44&lt;Dashboard!$C$5,"Overdue",IF(L44-Dashboard!$C$5&lt;=Lists!$R$5,"Due soon","Open"))))))</f>
        <v/>
      </c>
      <c r="Q44" s="18" t="str">
        <f aca="false">IF(B44="","",IF(P44="Closed","—",IF(OR(H44="Critical",P44="Overdue"),"ESCALATE","—")))</f>
        <v/>
      </c>
      <c r="R44" s="21" t="str">
        <f aca="false">IF(B44="","",IF(M44&lt;&gt;"",M44,Dashboard!$C$5)-B44)</f>
        <v/>
      </c>
    </row>
    <row r="45" customFormat="false" ht="15" hidden="false" customHeight="false" outlineLevel="0" collapsed="false">
      <c r="A45" s="18" t="str">
        <f aca="false">IF(B45="","","HZ-"&amp;TEXT(ROW()-4,"000"))</f>
        <v/>
      </c>
      <c r="B45" s="11"/>
      <c r="C45" s="10"/>
      <c r="D45" s="10"/>
      <c r="E45" s="10"/>
      <c r="F45" s="10"/>
      <c r="G45" s="10"/>
      <c r="H45" s="24"/>
      <c r="I45" s="10"/>
      <c r="J45" s="10"/>
      <c r="K45" s="10"/>
      <c r="L45" s="11"/>
      <c r="M45" s="11"/>
      <c r="N45" s="24"/>
      <c r="O45" s="24"/>
      <c r="P45" s="18" t="str">
        <f aca="false">IF(B45="","",IF(AND(M45&lt;&gt;"",N45="Yes"),"Closed",IF(M45&lt;&gt;"","Awaiting verification",IF(L45="","No deadline",IF(L45&lt;Dashboard!$C$5,"Overdue",IF(L45-Dashboard!$C$5&lt;=Lists!$R$5,"Due soon","Open"))))))</f>
        <v/>
      </c>
      <c r="Q45" s="18" t="str">
        <f aca="false">IF(B45="","",IF(P45="Closed","—",IF(OR(H45="Critical",P45="Overdue"),"ESCALATE","—")))</f>
        <v/>
      </c>
      <c r="R45" s="21" t="str">
        <f aca="false">IF(B45="","",IF(M45&lt;&gt;"",M45,Dashboard!$C$5)-B45)</f>
        <v/>
      </c>
    </row>
    <row r="46" customFormat="false" ht="15" hidden="false" customHeight="false" outlineLevel="0" collapsed="false">
      <c r="A46" s="18" t="str">
        <f aca="false">IF(B46="","","HZ-"&amp;TEXT(ROW()-4,"000"))</f>
        <v/>
      </c>
      <c r="B46" s="11"/>
      <c r="C46" s="10"/>
      <c r="D46" s="10"/>
      <c r="E46" s="10"/>
      <c r="F46" s="10"/>
      <c r="G46" s="10"/>
      <c r="H46" s="24"/>
      <c r="I46" s="10"/>
      <c r="J46" s="10"/>
      <c r="K46" s="10"/>
      <c r="L46" s="11"/>
      <c r="M46" s="11"/>
      <c r="N46" s="24"/>
      <c r="O46" s="24"/>
      <c r="P46" s="18" t="str">
        <f aca="false">IF(B46="","",IF(AND(M46&lt;&gt;"",N46="Yes"),"Closed",IF(M46&lt;&gt;"","Awaiting verification",IF(L46="","No deadline",IF(L46&lt;Dashboard!$C$5,"Overdue",IF(L46-Dashboard!$C$5&lt;=Lists!$R$5,"Due soon","Open"))))))</f>
        <v/>
      </c>
      <c r="Q46" s="18" t="str">
        <f aca="false">IF(B46="","",IF(P46="Closed","—",IF(OR(H46="Critical",P46="Overdue"),"ESCALATE","—")))</f>
        <v/>
      </c>
      <c r="R46" s="21" t="str">
        <f aca="false">IF(B46="","",IF(M46&lt;&gt;"",M46,Dashboard!$C$5)-B46)</f>
        <v/>
      </c>
    </row>
    <row r="47" customFormat="false" ht="15" hidden="false" customHeight="false" outlineLevel="0" collapsed="false">
      <c r="A47" s="18" t="str">
        <f aca="false">IF(B47="","","HZ-"&amp;TEXT(ROW()-4,"000"))</f>
        <v/>
      </c>
      <c r="B47" s="11"/>
      <c r="C47" s="10"/>
      <c r="D47" s="10"/>
      <c r="E47" s="10"/>
      <c r="F47" s="10"/>
      <c r="G47" s="10"/>
      <c r="H47" s="24"/>
      <c r="I47" s="10"/>
      <c r="J47" s="10"/>
      <c r="K47" s="10"/>
      <c r="L47" s="11"/>
      <c r="M47" s="11"/>
      <c r="N47" s="24"/>
      <c r="O47" s="24"/>
      <c r="P47" s="18" t="str">
        <f aca="false">IF(B47="","",IF(AND(M47&lt;&gt;"",N47="Yes"),"Closed",IF(M47&lt;&gt;"","Awaiting verification",IF(L47="","No deadline",IF(L47&lt;Dashboard!$C$5,"Overdue",IF(L47-Dashboard!$C$5&lt;=Lists!$R$5,"Due soon","Open"))))))</f>
        <v/>
      </c>
      <c r="Q47" s="18" t="str">
        <f aca="false">IF(B47="","",IF(P47="Closed","—",IF(OR(H47="Critical",P47="Overdue"),"ESCALATE","—")))</f>
        <v/>
      </c>
      <c r="R47" s="21" t="str">
        <f aca="false">IF(B47="","",IF(M47&lt;&gt;"",M47,Dashboard!$C$5)-B47)</f>
        <v/>
      </c>
    </row>
    <row r="48" customFormat="false" ht="15" hidden="false" customHeight="false" outlineLevel="0" collapsed="false">
      <c r="A48" s="18" t="str">
        <f aca="false">IF(B48="","","HZ-"&amp;TEXT(ROW()-4,"000"))</f>
        <v/>
      </c>
      <c r="B48" s="11"/>
      <c r="C48" s="10"/>
      <c r="D48" s="10"/>
      <c r="E48" s="10"/>
      <c r="F48" s="10"/>
      <c r="G48" s="10"/>
      <c r="H48" s="24"/>
      <c r="I48" s="10"/>
      <c r="J48" s="10"/>
      <c r="K48" s="10"/>
      <c r="L48" s="11"/>
      <c r="M48" s="11"/>
      <c r="N48" s="24"/>
      <c r="O48" s="24"/>
      <c r="P48" s="18" t="str">
        <f aca="false">IF(B48="","",IF(AND(M48&lt;&gt;"",N48="Yes"),"Closed",IF(M48&lt;&gt;"","Awaiting verification",IF(L48="","No deadline",IF(L48&lt;Dashboard!$C$5,"Overdue",IF(L48-Dashboard!$C$5&lt;=Lists!$R$5,"Due soon","Open"))))))</f>
        <v/>
      </c>
      <c r="Q48" s="18" t="str">
        <f aca="false">IF(B48="","",IF(P48="Closed","—",IF(OR(H48="Critical",P48="Overdue"),"ESCALATE","—")))</f>
        <v/>
      </c>
      <c r="R48" s="21" t="str">
        <f aca="false">IF(B48="","",IF(M48&lt;&gt;"",M48,Dashboard!$C$5)-B48)</f>
        <v/>
      </c>
    </row>
    <row r="49" customFormat="false" ht="15" hidden="false" customHeight="false" outlineLevel="0" collapsed="false">
      <c r="A49" s="18" t="str">
        <f aca="false">IF(B49="","","HZ-"&amp;TEXT(ROW()-4,"000"))</f>
        <v/>
      </c>
      <c r="B49" s="11"/>
      <c r="C49" s="10"/>
      <c r="D49" s="10"/>
      <c r="E49" s="10"/>
      <c r="F49" s="10"/>
      <c r="G49" s="10"/>
      <c r="H49" s="24"/>
      <c r="I49" s="10"/>
      <c r="J49" s="10"/>
      <c r="K49" s="10"/>
      <c r="L49" s="11"/>
      <c r="M49" s="11"/>
      <c r="N49" s="24"/>
      <c r="O49" s="24"/>
      <c r="P49" s="18" t="str">
        <f aca="false">IF(B49="","",IF(AND(M49&lt;&gt;"",N49="Yes"),"Closed",IF(M49&lt;&gt;"","Awaiting verification",IF(L49="","No deadline",IF(L49&lt;Dashboard!$C$5,"Overdue",IF(L49-Dashboard!$C$5&lt;=Lists!$R$5,"Due soon","Open"))))))</f>
        <v/>
      </c>
      <c r="Q49" s="18" t="str">
        <f aca="false">IF(B49="","",IF(P49="Closed","—",IF(OR(H49="Critical",P49="Overdue"),"ESCALATE","—")))</f>
        <v/>
      </c>
      <c r="R49" s="21" t="str">
        <f aca="false">IF(B49="","",IF(M49&lt;&gt;"",M49,Dashboard!$C$5)-B49)</f>
        <v/>
      </c>
    </row>
    <row r="50" customFormat="false" ht="15" hidden="false" customHeight="false" outlineLevel="0" collapsed="false">
      <c r="A50" s="18" t="str">
        <f aca="false">IF(B50="","","HZ-"&amp;TEXT(ROW()-4,"000"))</f>
        <v/>
      </c>
      <c r="B50" s="11"/>
      <c r="C50" s="10"/>
      <c r="D50" s="10"/>
      <c r="E50" s="10"/>
      <c r="F50" s="10"/>
      <c r="G50" s="10"/>
      <c r="H50" s="24"/>
      <c r="I50" s="10"/>
      <c r="J50" s="10"/>
      <c r="K50" s="10"/>
      <c r="L50" s="11"/>
      <c r="M50" s="11"/>
      <c r="N50" s="24"/>
      <c r="O50" s="24"/>
      <c r="P50" s="18" t="str">
        <f aca="false">IF(B50="","",IF(AND(M50&lt;&gt;"",N50="Yes"),"Closed",IF(M50&lt;&gt;"","Awaiting verification",IF(L50="","No deadline",IF(L50&lt;Dashboard!$C$5,"Overdue",IF(L50-Dashboard!$C$5&lt;=Lists!$R$5,"Due soon","Open"))))))</f>
        <v/>
      </c>
      <c r="Q50" s="18" t="str">
        <f aca="false">IF(B50="","",IF(P50="Closed","—",IF(OR(H50="Critical",P50="Overdue"),"ESCALATE","—")))</f>
        <v/>
      </c>
      <c r="R50" s="21" t="str">
        <f aca="false">IF(B50="","",IF(M50&lt;&gt;"",M50,Dashboard!$C$5)-B50)</f>
        <v/>
      </c>
    </row>
    <row r="51" customFormat="false" ht="15" hidden="false" customHeight="false" outlineLevel="0" collapsed="false">
      <c r="A51" s="18" t="str">
        <f aca="false">IF(B51="","","HZ-"&amp;TEXT(ROW()-4,"000"))</f>
        <v/>
      </c>
      <c r="B51" s="11"/>
      <c r="C51" s="10"/>
      <c r="D51" s="10"/>
      <c r="E51" s="10"/>
      <c r="F51" s="10"/>
      <c r="G51" s="10"/>
      <c r="H51" s="24"/>
      <c r="I51" s="10"/>
      <c r="J51" s="10"/>
      <c r="K51" s="10"/>
      <c r="L51" s="11"/>
      <c r="M51" s="11"/>
      <c r="N51" s="24"/>
      <c r="O51" s="24"/>
      <c r="P51" s="18" t="str">
        <f aca="false">IF(B51="","",IF(AND(M51&lt;&gt;"",N51="Yes"),"Closed",IF(M51&lt;&gt;"","Awaiting verification",IF(L51="","No deadline",IF(L51&lt;Dashboard!$C$5,"Overdue",IF(L51-Dashboard!$C$5&lt;=Lists!$R$5,"Due soon","Open"))))))</f>
        <v/>
      </c>
      <c r="Q51" s="18" t="str">
        <f aca="false">IF(B51="","",IF(P51="Closed","—",IF(OR(H51="Critical",P51="Overdue"),"ESCALATE","—")))</f>
        <v/>
      </c>
      <c r="R51" s="21" t="str">
        <f aca="false">IF(B51="","",IF(M51&lt;&gt;"",M51,Dashboard!$C$5)-B51)</f>
        <v/>
      </c>
    </row>
    <row r="52" customFormat="false" ht="15" hidden="false" customHeight="false" outlineLevel="0" collapsed="false">
      <c r="A52" s="18" t="str">
        <f aca="false">IF(B52="","","HZ-"&amp;TEXT(ROW()-4,"000"))</f>
        <v/>
      </c>
      <c r="B52" s="11"/>
      <c r="C52" s="10"/>
      <c r="D52" s="10"/>
      <c r="E52" s="10"/>
      <c r="F52" s="10"/>
      <c r="G52" s="10"/>
      <c r="H52" s="24"/>
      <c r="I52" s="10"/>
      <c r="J52" s="10"/>
      <c r="K52" s="10"/>
      <c r="L52" s="11"/>
      <c r="M52" s="11"/>
      <c r="N52" s="24"/>
      <c r="O52" s="24"/>
      <c r="P52" s="18" t="str">
        <f aca="false">IF(B52="","",IF(AND(M52&lt;&gt;"",N52="Yes"),"Closed",IF(M52&lt;&gt;"","Awaiting verification",IF(L52="","No deadline",IF(L52&lt;Dashboard!$C$5,"Overdue",IF(L52-Dashboard!$C$5&lt;=Lists!$R$5,"Due soon","Open"))))))</f>
        <v/>
      </c>
      <c r="Q52" s="18" t="str">
        <f aca="false">IF(B52="","",IF(P52="Closed","—",IF(OR(H52="Critical",P52="Overdue"),"ESCALATE","—")))</f>
        <v/>
      </c>
      <c r="R52" s="21" t="str">
        <f aca="false">IF(B52="","",IF(M52&lt;&gt;"",M52,Dashboard!$C$5)-B52)</f>
        <v/>
      </c>
    </row>
    <row r="53" customFormat="false" ht="15" hidden="false" customHeight="false" outlineLevel="0" collapsed="false">
      <c r="A53" s="18" t="str">
        <f aca="false">IF(B53="","","HZ-"&amp;TEXT(ROW()-4,"000"))</f>
        <v/>
      </c>
      <c r="B53" s="11"/>
      <c r="C53" s="10"/>
      <c r="D53" s="10"/>
      <c r="E53" s="10"/>
      <c r="F53" s="10"/>
      <c r="G53" s="10"/>
      <c r="H53" s="24"/>
      <c r="I53" s="10"/>
      <c r="J53" s="10"/>
      <c r="K53" s="10"/>
      <c r="L53" s="11"/>
      <c r="M53" s="11"/>
      <c r="N53" s="24"/>
      <c r="O53" s="24"/>
      <c r="P53" s="18" t="str">
        <f aca="false">IF(B53="","",IF(AND(M53&lt;&gt;"",N53="Yes"),"Closed",IF(M53&lt;&gt;"","Awaiting verification",IF(L53="","No deadline",IF(L53&lt;Dashboard!$C$5,"Overdue",IF(L53-Dashboard!$C$5&lt;=Lists!$R$5,"Due soon","Open"))))))</f>
        <v/>
      </c>
      <c r="Q53" s="18" t="str">
        <f aca="false">IF(B53="","",IF(P53="Closed","—",IF(OR(H53="Critical",P53="Overdue"),"ESCALATE","—")))</f>
        <v/>
      </c>
      <c r="R53" s="21" t="str">
        <f aca="false">IF(B53="","",IF(M53&lt;&gt;"",M53,Dashboard!$C$5)-B53)</f>
        <v/>
      </c>
    </row>
    <row r="54" customFormat="false" ht="15" hidden="false" customHeight="false" outlineLevel="0" collapsed="false">
      <c r="A54" s="18" t="str">
        <f aca="false">IF(B54="","","HZ-"&amp;TEXT(ROW()-4,"000"))</f>
        <v/>
      </c>
      <c r="B54" s="11"/>
      <c r="C54" s="10"/>
      <c r="D54" s="10"/>
      <c r="E54" s="10"/>
      <c r="F54" s="10"/>
      <c r="G54" s="10"/>
      <c r="H54" s="24"/>
      <c r="I54" s="10"/>
      <c r="J54" s="10"/>
      <c r="K54" s="10"/>
      <c r="L54" s="11"/>
      <c r="M54" s="11"/>
      <c r="N54" s="24"/>
      <c r="O54" s="24"/>
      <c r="P54" s="18" t="str">
        <f aca="false">IF(B54="","",IF(AND(M54&lt;&gt;"",N54="Yes"),"Closed",IF(M54&lt;&gt;"","Awaiting verification",IF(L54="","No deadline",IF(L54&lt;Dashboard!$C$5,"Overdue",IF(L54-Dashboard!$C$5&lt;=Lists!$R$5,"Due soon","Open"))))))</f>
        <v/>
      </c>
      <c r="Q54" s="18" t="str">
        <f aca="false">IF(B54="","",IF(P54="Closed","—",IF(OR(H54="Critical",P54="Overdue"),"ESCALATE","—")))</f>
        <v/>
      </c>
      <c r="R54" s="21" t="str">
        <f aca="false">IF(B54="","",IF(M54&lt;&gt;"",M54,Dashboard!$C$5)-B54)</f>
        <v/>
      </c>
    </row>
    <row r="55" customFormat="false" ht="15" hidden="false" customHeight="false" outlineLevel="0" collapsed="false">
      <c r="A55" s="18" t="str">
        <f aca="false">IF(B55="","","HZ-"&amp;TEXT(ROW()-4,"000"))</f>
        <v/>
      </c>
      <c r="B55" s="11"/>
      <c r="C55" s="10"/>
      <c r="D55" s="10"/>
      <c r="E55" s="10"/>
      <c r="F55" s="10"/>
      <c r="G55" s="10"/>
      <c r="H55" s="24"/>
      <c r="I55" s="10"/>
      <c r="J55" s="10"/>
      <c r="K55" s="10"/>
      <c r="L55" s="11"/>
      <c r="M55" s="11"/>
      <c r="N55" s="24"/>
      <c r="O55" s="24"/>
      <c r="P55" s="18" t="str">
        <f aca="false">IF(B55="","",IF(AND(M55&lt;&gt;"",N55="Yes"),"Closed",IF(M55&lt;&gt;"","Awaiting verification",IF(L55="","No deadline",IF(L55&lt;Dashboard!$C$5,"Overdue",IF(L55-Dashboard!$C$5&lt;=Lists!$R$5,"Due soon","Open"))))))</f>
        <v/>
      </c>
      <c r="Q55" s="18" t="str">
        <f aca="false">IF(B55="","",IF(P55="Closed","—",IF(OR(H55="Critical",P55="Overdue"),"ESCALATE","—")))</f>
        <v/>
      </c>
      <c r="R55" s="21" t="str">
        <f aca="false">IF(B55="","",IF(M55&lt;&gt;"",M55,Dashboard!$C$5)-B55)</f>
        <v/>
      </c>
    </row>
    <row r="56" customFormat="false" ht="15" hidden="false" customHeight="false" outlineLevel="0" collapsed="false">
      <c r="A56" s="18" t="str">
        <f aca="false">IF(B56="","","HZ-"&amp;TEXT(ROW()-4,"000"))</f>
        <v/>
      </c>
      <c r="B56" s="11"/>
      <c r="C56" s="10"/>
      <c r="D56" s="10"/>
      <c r="E56" s="10"/>
      <c r="F56" s="10"/>
      <c r="G56" s="10"/>
      <c r="H56" s="24"/>
      <c r="I56" s="10"/>
      <c r="J56" s="10"/>
      <c r="K56" s="10"/>
      <c r="L56" s="11"/>
      <c r="M56" s="11"/>
      <c r="N56" s="24"/>
      <c r="O56" s="24"/>
      <c r="P56" s="18" t="str">
        <f aca="false">IF(B56="","",IF(AND(M56&lt;&gt;"",N56="Yes"),"Closed",IF(M56&lt;&gt;"","Awaiting verification",IF(L56="","No deadline",IF(L56&lt;Dashboard!$C$5,"Overdue",IF(L56-Dashboard!$C$5&lt;=Lists!$R$5,"Due soon","Open"))))))</f>
        <v/>
      </c>
      <c r="Q56" s="18" t="str">
        <f aca="false">IF(B56="","",IF(P56="Closed","—",IF(OR(H56="Critical",P56="Overdue"),"ESCALATE","—")))</f>
        <v/>
      </c>
      <c r="R56" s="21" t="str">
        <f aca="false">IF(B56="","",IF(M56&lt;&gt;"",M56,Dashboard!$C$5)-B56)</f>
        <v/>
      </c>
    </row>
    <row r="57" customFormat="false" ht="15" hidden="false" customHeight="false" outlineLevel="0" collapsed="false">
      <c r="A57" s="18" t="str">
        <f aca="false">IF(B57="","","HZ-"&amp;TEXT(ROW()-4,"000"))</f>
        <v/>
      </c>
      <c r="B57" s="11"/>
      <c r="C57" s="10"/>
      <c r="D57" s="10"/>
      <c r="E57" s="10"/>
      <c r="F57" s="10"/>
      <c r="G57" s="10"/>
      <c r="H57" s="24"/>
      <c r="I57" s="10"/>
      <c r="J57" s="10"/>
      <c r="K57" s="10"/>
      <c r="L57" s="11"/>
      <c r="M57" s="11"/>
      <c r="N57" s="24"/>
      <c r="O57" s="24"/>
      <c r="P57" s="18" t="str">
        <f aca="false">IF(B57="","",IF(AND(M57&lt;&gt;"",N57="Yes"),"Closed",IF(M57&lt;&gt;"","Awaiting verification",IF(L57="","No deadline",IF(L57&lt;Dashboard!$C$5,"Overdue",IF(L57-Dashboard!$C$5&lt;=Lists!$R$5,"Due soon","Open"))))))</f>
        <v/>
      </c>
      <c r="Q57" s="18" t="str">
        <f aca="false">IF(B57="","",IF(P57="Closed","—",IF(OR(H57="Critical",P57="Overdue"),"ESCALATE","—")))</f>
        <v/>
      </c>
      <c r="R57" s="21" t="str">
        <f aca="false">IF(B57="","",IF(M57&lt;&gt;"",M57,Dashboard!$C$5)-B57)</f>
        <v/>
      </c>
    </row>
    <row r="58" customFormat="false" ht="15" hidden="false" customHeight="false" outlineLevel="0" collapsed="false">
      <c r="A58" s="18" t="str">
        <f aca="false">IF(B58="","","HZ-"&amp;TEXT(ROW()-4,"000"))</f>
        <v/>
      </c>
      <c r="B58" s="11"/>
      <c r="C58" s="10"/>
      <c r="D58" s="10"/>
      <c r="E58" s="10"/>
      <c r="F58" s="10"/>
      <c r="G58" s="10"/>
      <c r="H58" s="24"/>
      <c r="I58" s="10"/>
      <c r="J58" s="10"/>
      <c r="K58" s="10"/>
      <c r="L58" s="11"/>
      <c r="M58" s="11"/>
      <c r="N58" s="24"/>
      <c r="O58" s="24"/>
      <c r="P58" s="18" t="str">
        <f aca="false">IF(B58="","",IF(AND(M58&lt;&gt;"",N58="Yes"),"Closed",IF(M58&lt;&gt;"","Awaiting verification",IF(L58="","No deadline",IF(L58&lt;Dashboard!$C$5,"Overdue",IF(L58-Dashboard!$C$5&lt;=Lists!$R$5,"Due soon","Open"))))))</f>
        <v/>
      </c>
      <c r="Q58" s="18" t="str">
        <f aca="false">IF(B58="","",IF(P58="Closed","—",IF(OR(H58="Critical",P58="Overdue"),"ESCALATE","—")))</f>
        <v/>
      </c>
      <c r="R58" s="21" t="str">
        <f aca="false">IF(B58="","",IF(M58&lt;&gt;"",M58,Dashboard!$C$5)-B58)</f>
        <v/>
      </c>
    </row>
    <row r="59" customFormat="false" ht="15" hidden="false" customHeight="false" outlineLevel="0" collapsed="false">
      <c r="A59" s="18" t="str">
        <f aca="false">IF(B59="","","HZ-"&amp;TEXT(ROW()-4,"000"))</f>
        <v/>
      </c>
      <c r="B59" s="11"/>
      <c r="C59" s="10"/>
      <c r="D59" s="10"/>
      <c r="E59" s="10"/>
      <c r="F59" s="10"/>
      <c r="G59" s="10"/>
      <c r="H59" s="24"/>
      <c r="I59" s="10"/>
      <c r="J59" s="10"/>
      <c r="K59" s="10"/>
      <c r="L59" s="11"/>
      <c r="M59" s="11"/>
      <c r="N59" s="24"/>
      <c r="O59" s="24"/>
      <c r="P59" s="18" t="str">
        <f aca="false">IF(B59="","",IF(AND(M59&lt;&gt;"",N59="Yes"),"Closed",IF(M59&lt;&gt;"","Awaiting verification",IF(L59="","No deadline",IF(L59&lt;Dashboard!$C$5,"Overdue",IF(L59-Dashboard!$C$5&lt;=Lists!$R$5,"Due soon","Open"))))))</f>
        <v/>
      </c>
      <c r="Q59" s="18" t="str">
        <f aca="false">IF(B59="","",IF(P59="Closed","—",IF(OR(H59="Critical",P59="Overdue"),"ESCALATE","—")))</f>
        <v/>
      </c>
      <c r="R59" s="21" t="str">
        <f aca="false">IF(B59="","",IF(M59&lt;&gt;"",M59,Dashboard!$C$5)-B59)</f>
        <v/>
      </c>
    </row>
    <row r="60" customFormat="false" ht="15" hidden="false" customHeight="false" outlineLevel="0" collapsed="false">
      <c r="A60" s="18" t="str">
        <f aca="false">IF(B60="","","HZ-"&amp;TEXT(ROW()-4,"000"))</f>
        <v/>
      </c>
      <c r="B60" s="11"/>
      <c r="C60" s="10"/>
      <c r="D60" s="10"/>
      <c r="E60" s="10"/>
      <c r="F60" s="10"/>
      <c r="G60" s="10"/>
      <c r="H60" s="24"/>
      <c r="I60" s="10"/>
      <c r="J60" s="10"/>
      <c r="K60" s="10"/>
      <c r="L60" s="11"/>
      <c r="M60" s="11"/>
      <c r="N60" s="24"/>
      <c r="O60" s="24"/>
      <c r="P60" s="18" t="str">
        <f aca="false">IF(B60="","",IF(AND(M60&lt;&gt;"",N60="Yes"),"Closed",IF(M60&lt;&gt;"","Awaiting verification",IF(L60="","No deadline",IF(L60&lt;Dashboard!$C$5,"Overdue",IF(L60-Dashboard!$C$5&lt;=Lists!$R$5,"Due soon","Open"))))))</f>
        <v/>
      </c>
      <c r="Q60" s="18" t="str">
        <f aca="false">IF(B60="","",IF(P60="Closed","—",IF(OR(H60="Critical",P60="Overdue"),"ESCALATE","—")))</f>
        <v/>
      </c>
      <c r="R60" s="21" t="str">
        <f aca="false">IF(B60="","",IF(M60&lt;&gt;"",M60,Dashboard!$C$5)-B60)</f>
        <v/>
      </c>
    </row>
    <row r="61" customFormat="false" ht="15" hidden="false" customHeight="false" outlineLevel="0" collapsed="false">
      <c r="A61" s="18" t="str">
        <f aca="false">IF(B61="","","HZ-"&amp;TEXT(ROW()-4,"000"))</f>
        <v/>
      </c>
      <c r="B61" s="11"/>
      <c r="C61" s="10"/>
      <c r="D61" s="10"/>
      <c r="E61" s="10"/>
      <c r="F61" s="10"/>
      <c r="G61" s="10"/>
      <c r="H61" s="24"/>
      <c r="I61" s="10"/>
      <c r="J61" s="10"/>
      <c r="K61" s="10"/>
      <c r="L61" s="11"/>
      <c r="M61" s="11"/>
      <c r="N61" s="24"/>
      <c r="O61" s="24"/>
      <c r="P61" s="18" t="str">
        <f aca="false">IF(B61="","",IF(AND(M61&lt;&gt;"",N61="Yes"),"Closed",IF(M61&lt;&gt;"","Awaiting verification",IF(L61="","No deadline",IF(L61&lt;Dashboard!$C$5,"Overdue",IF(L61-Dashboard!$C$5&lt;=Lists!$R$5,"Due soon","Open"))))))</f>
        <v/>
      </c>
      <c r="Q61" s="18" t="str">
        <f aca="false">IF(B61="","",IF(P61="Closed","—",IF(OR(H61="Critical",P61="Overdue"),"ESCALATE","—")))</f>
        <v/>
      </c>
      <c r="R61" s="21" t="str">
        <f aca="false">IF(B61="","",IF(M61&lt;&gt;"",M61,Dashboard!$C$5)-B61)</f>
        <v/>
      </c>
    </row>
    <row r="62" customFormat="false" ht="15" hidden="false" customHeight="false" outlineLevel="0" collapsed="false">
      <c r="A62" s="18" t="str">
        <f aca="false">IF(B62="","","HZ-"&amp;TEXT(ROW()-4,"000"))</f>
        <v/>
      </c>
      <c r="B62" s="11"/>
      <c r="C62" s="10"/>
      <c r="D62" s="10"/>
      <c r="E62" s="10"/>
      <c r="F62" s="10"/>
      <c r="G62" s="10"/>
      <c r="H62" s="24"/>
      <c r="I62" s="10"/>
      <c r="J62" s="10"/>
      <c r="K62" s="10"/>
      <c r="L62" s="11"/>
      <c r="M62" s="11"/>
      <c r="N62" s="24"/>
      <c r="O62" s="24"/>
      <c r="P62" s="18" t="str">
        <f aca="false">IF(B62="","",IF(AND(M62&lt;&gt;"",N62="Yes"),"Closed",IF(M62&lt;&gt;"","Awaiting verification",IF(L62="","No deadline",IF(L62&lt;Dashboard!$C$5,"Overdue",IF(L62-Dashboard!$C$5&lt;=Lists!$R$5,"Due soon","Open"))))))</f>
        <v/>
      </c>
      <c r="Q62" s="18" t="str">
        <f aca="false">IF(B62="","",IF(P62="Closed","—",IF(OR(H62="Critical",P62="Overdue"),"ESCALATE","—")))</f>
        <v/>
      </c>
      <c r="R62" s="21" t="str">
        <f aca="false">IF(B62="","",IF(M62&lt;&gt;"",M62,Dashboard!$C$5)-B62)</f>
        <v/>
      </c>
    </row>
    <row r="63" customFormat="false" ht="15" hidden="false" customHeight="false" outlineLevel="0" collapsed="false">
      <c r="A63" s="18" t="str">
        <f aca="false">IF(B63="","","HZ-"&amp;TEXT(ROW()-4,"000"))</f>
        <v/>
      </c>
      <c r="B63" s="11"/>
      <c r="C63" s="10"/>
      <c r="D63" s="10"/>
      <c r="E63" s="10"/>
      <c r="F63" s="10"/>
      <c r="G63" s="10"/>
      <c r="H63" s="24"/>
      <c r="I63" s="10"/>
      <c r="J63" s="10"/>
      <c r="K63" s="10"/>
      <c r="L63" s="11"/>
      <c r="M63" s="11"/>
      <c r="N63" s="24"/>
      <c r="O63" s="24"/>
      <c r="P63" s="18" t="str">
        <f aca="false">IF(B63="","",IF(AND(M63&lt;&gt;"",N63="Yes"),"Closed",IF(M63&lt;&gt;"","Awaiting verification",IF(L63="","No deadline",IF(L63&lt;Dashboard!$C$5,"Overdue",IF(L63-Dashboard!$C$5&lt;=Lists!$R$5,"Due soon","Open"))))))</f>
        <v/>
      </c>
      <c r="Q63" s="18" t="str">
        <f aca="false">IF(B63="","",IF(P63="Closed","—",IF(OR(H63="Critical",P63="Overdue"),"ESCALATE","—")))</f>
        <v/>
      </c>
      <c r="R63" s="21" t="str">
        <f aca="false">IF(B63="","",IF(M63&lt;&gt;"",M63,Dashboard!$C$5)-B63)</f>
        <v/>
      </c>
    </row>
    <row r="64" customFormat="false" ht="15" hidden="false" customHeight="false" outlineLevel="0" collapsed="false">
      <c r="A64" s="18" t="str">
        <f aca="false">IF(B64="","","HZ-"&amp;TEXT(ROW()-4,"000"))</f>
        <v/>
      </c>
      <c r="B64" s="11"/>
      <c r="C64" s="10"/>
      <c r="D64" s="10"/>
      <c r="E64" s="10"/>
      <c r="F64" s="10"/>
      <c r="G64" s="10"/>
      <c r="H64" s="24"/>
      <c r="I64" s="10"/>
      <c r="J64" s="10"/>
      <c r="K64" s="10"/>
      <c r="L64" s="11"/>
      <c r="M64" s="11"/>
      <c r="N64" s="24"/>
      <c r="O64" s="24"/>
      <c r="P64" s="18" t="str">
        <f aca="false">IF(B64="","",IF(AND(M64&lt;&gt;"",N64="Yes"),"Closed",IF(M64&lt;&gt;"","Awaiting verification",IF(L64="","No deadline",IF(L64&lt;Dashboard!$C$5,"Overdue",IF(L64-Dashboard!$C$5&lt;=Lists!$R$5,"Due soon","Open"))))))</f>
        <v/>
      </c>
      <c r="Q64" s="18" t="str">
        <f aca="false">IF(B64="","",IF(P64="Closed","—",IF(OR(H64="Critical",P64="Overdue"),"ESCALATE","—")))</f>
        <v/>
      </c>
      <c r="R64" s="21" t="str">
        <f aca="false">IF(B64="","",IF(M64&lt;&gt;"",M64,Dashboard!$C$5)-B64)</f>
        <v/>
      </c>
    </row>
  </sheetData>
  <conditionalFormatting sqref="H5:H64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"Critical"</formula>
    </cfRule>
  </conditionalFormatting>
  <conditionalFormatting sqref="P5:P64">
    <cfRule type="cellIs" priority="6" operator="equal" aboveAverage="0" equalAverage="0" bottom="0" percent="0" rank="0" text="" dxfId="0">
      <formula>"Closed"</formula>
    </cfRule>
    <cfRule type="cellIs" priority="7" operator="equal" aboveAverage="0" equalAverage="0" bottom="0" percent="0" rank="0" text="" dxfId="1">
      <formula>"Open"</formula>
    </cfRule>
    <cfRule type="cellIs" priority="8" operator="equal" aboveAverage="0" equalAverage="0" bottom="0" percent="0" rank="0" text="" dxfId="1">
      <formula>"Due soon"</formula>
    </cfRule>
    <cfRule type="cellIs" priority="9" operator="equal" aboveAverage="0" equalAverage="0" bottom="0" percent="0" rank="0" text="" dxfId="1">
      <formula>"Awaiting verification"</formula>
    </cfRule>
    <cfRule type="cellIs" priority="10" operator="equal" aboveAverage="0" equalAverage="0" bottom="0" percent="0" rank="0" text="" dxfId="1">
      <formula>"No deadline"</formula>
    </cfRule>
    <cfRule type="cellIs" priority="11" operator="equal" aboveAverage="0" equalAverage="0" bottom="0" percent="0" rank="0" text="" dxfId="2">
      <formula>"Overdue"</formula>
    </cfRule>
  </conditionalFormatting>
  <conditionalFormatting sqref="Q5:Q64">
    <cfRule type="cellIs" priority="12" operator="equal" aboveAverage="0" equalAverage="0" bottom="0" percent="0" rank="0" text="" dxfId="3">
      <formula>"ESCALATE"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D5:D64" type="list">
      <formula1>Lists!$D$2:$D$12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E5:E64" type="list">
      <formula1>Lists!$E$2:$E$11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H5:H64" type="list">
      <formula1>Lists!$F$2:$F$5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N5:O6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28"/>
  </cols>
  <sheetData>
    <row r="1" customFormat="false" ht="19.7" hidden="false" customHeight="false" outlineLevel="0" collapsed="false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1.5" hidden="false" customHeight="true" outlineLevel="0" collapsed="false">
      <c r="A4" s="12" t="s">
        <v>294</v>
      </c>
      <c r="B4" s="12" t="s">
        <v>295</v>
      </c>
      <c r="C4" s="12" t="s">
        <v>255</v>
      </c>
      <c r="D4" s="12" t="s">
        <v>296</v>
      </c>
      <c r="E4" s="12" t="s">
        <v>297</v>
      </c>
      <c r="F4" s="12" t="s">
        <v>298</v>
      </c>
      <c r="G4" s="12" t="s">
        <v>299</v>
      </c>
      <c r="H4" s="12" t="s">
        <v>300</v>
      </c>
      <c r="I4" s="12" t="s">
        <v>301</v>
      </c>
      <c r="J4" s="12" t="s">
        <v>52</v>
      </c>
      <c r="K4" s="12" t="s">
        <v>302</v>
      </c>
      <c r="L4" s="12" t="s">
        <v>243</v>
      </c>
    </row>
    <row r="5" customFormat="false" ht="26.85" hidden="false" customHeight="false" outlineLevel="0" collapsed="false">
      <c r="A5" s="10" t="s">
        <v>303</v>
      </c>
      <c r="B5" s="10" t="s">
        <v>304</v>
      </c>
      <c r="C5" s="10" t="s">
        <v>179</v>
      </c>
      <c r="D5" s="11" t="n">
        <v>46218</v>
      </c>
      <c r="E5" s="27" t="n">
        <v>180</v>
      </c>
      <c r="F5" s="28" t="n">
        <f aca="false">IF(OR(D5="",E5=""),"",D5+E5)</f>
        <v>46398</v>
      </c>
      <c r="G5" s="24" t="s">
        <v>209</v>
      </c>
      <c r="H5" s="24" t="s">
        <v>209</v>
      </c>
      <c r="I5" s="24"/>
      <c r="J5" s="18" t="str">
        <f aca="false">IF(B5="","",IF(G5="No",IF(I5="Yes","Impaired – interim control",IF(H5="Yes","IMPAIRED – NO INTERIM CONTROL","Impaired – repair")),IF(F5="","Not scheduled",IF(F5&lt;Dashboard!$C$5,"Service overdue",IF(F5-Dashboard!$C$5&lt;=Lists!$R$5,"Due soon","In service")))))</f>
        <v>In service</v>
      </c>
      <c r="K5" s="10"/>
      <c r="L5" s="10"/>
    </row>
    <row r="6" customFormat="false" ht="26.85" hidden="false" customHeight="false" outlineLevel="0" collapsed="false">
      <c r="A6" s="10" t="s">
        <v>305</v>
      </c>
      <c r="B6" s="10" t="s">
        <v>306</v>
      </c>
      <c r="C6" s="10" t="s">
        <v>307</v>
      </c>
      <c r="D6" s="11" t="n">
        <v>46218</v>
      </c>
      <c r="E6" s="27" t="n">
        <v>180</v>
      </c>
      <c r="F6" s="28" t="n">
        <f aca="false">IF(OR(D6="",E6=""),"",D6+E6)</f>
        <v>46398</v>
      </c>
      <c r="G6" s="24" t="s">
        <v>209</v>
      </c>
      <c r="H6" s="24" t="s">
        <v>209</v>
      </c>
      <c r="I6" s="24"/>
      <c r="J6" s="18" t="str">
        <f aca="false">IF(B6="","",IF(G6="No",IF(I6="Yes","Impaired – interim control",IF(H6="Yes","IMPAIRED – NO INTERIM CONTROL","Impaired – repair")),IF(F6="","Not scheduled",IF(F6&lt;Dashboard!$C$5,"Service overdue",IF(F6-Dashboard!$C$5&lt;=Lists!$R$5,"Due soon","In service")))))</f>
        <v>In service</v>
      </c>
      <c r="K6" s="10"/>
      <c r="L6" s="10"/>
    </row>
    <row r="7" customFormat="false" ht="26.85" hidden="false" customHeight="false" outlineLevel="0" collapsed="false">
      <c r="A7" s="10" t="s">
        <v>308</v>
      </c>
      <c r="B7" s="10" t="s">
        <v>216</v>
      </c>
      <c r="C7" s="10" t="s">
        <v>179</v>
      </c>
      <c r="D7" s="11" t="n">
        <v>46266</v>
      </c>
      <c r="E7" s="27" t="n">
        <v>30</v>
      </c>
      <c r="F7" s="28" t="n">
        <f aca="false">IF(OR(D7="",E7=""),"",D7+E7)</f>
        <v>46296</v>
      </c>
      <c r="G7" s="24" t="s">
        <v>209</v>
      </c>
      <c r="H7" s="24" t="s">
        <v>209</v>
      </c>
      <c r="I7" s="24"/>
      <c r="J7" s="18" t="str">
        <f aca="false">IF(B7="","",IF(G7="No",IF(I7="Yes","Impaired – interim control",IF(H7="Yes","IMPAIRED – NO INTERIM CONTROL","Impaired – repair")),IF(F7="","Not scheduled",IF(F7&lt;Dashboard!$C$5,"Service overdue",IF(F7-Dashboard!$C$5&lt;=Lists!$R$5,"Due soon","In service")))))</f>
        <v>Service overdue</v>
      </c>
      <c r="K7" s="10"/>
      <c r="L7" s="10"/>
    </row>
    <row r="8" customFormat="false" ht="26.85" hidden="false" customHeight="false" outlineLevel="0" collapsed="false">
      <c r="A8" s="10" t="s">
        <v>309</v>
      </c>
      <c r="B8" s="10" t="s">
        <v>310</v>
      </c>
      <c r="C8" s="10" t="s">
        <v>132</v>
      </c>
      <c r="D8" s="11" t="n">
        <v>46114</v>
      </c>
      <c r="E8" s="27" t="n">
        <v>180</v>
      </c>
      <c r="F8" s="28" t="n">
        <f aca="false">IF(OR(D8="",E8=""),"",D8+E8)</f>
        <v>46294</v>
      </c>
      <c r="G8" s="24" t="s">
        <v>209</v>
      </c>
      <c r="H8" s="24" t="s">
        <v>195</v>
      </c>
      <c r="I8" s="24"/>
      <c r="J8" s="18" t="str">
        <f aca="false">IF(B8="","",IF(G8="No",IF(I8="Yes","Impaired – interim control",IF(H8="Yes","IMPAIRED – NO INTERIM CONTROL","Impaired – repair")),IF(F8="","Not scheduled",IF(F8&lt;Dashboard!$C$5,"Service overdue",IF(F8-Dashboard!$C$5&lt;=Lists!$R$5,"Due soon","In service")))))</f>
        <v>Service overdue</v>
      </c>
      <c r="K8" s="10"/>
      <c r="L8" s="10" t="s">
        <v>311</v>
      </c>
    </row>
    <row r="9" customFormat="false" ht="26.85" hidden="false" customHeight="false" outlineLevel="0" collapsed="false">
      <c r="A9" s="10" t="s">
        <v>312</v>
      </c>
      <c r="B9" s="10" t="s">
        <v>310</v>
      </c>
      <c r="C9" s="10" t="s">
        <v>144</v>
      </c>
      <c r="D9" s="11" t="n">
        <v>46275</v>
      </c>
      <c r="E9" s="27" t="n">
        <v>90</v>
      </c>
      <c r="F9" s="28" t="n">
        <f aca="false">IF(OR(D9="",E9=""),"",D9+E9)</f>
        <v>46365</v>
      </c>
      <c r="G9" s="24" t="s">
        <v>209</v>
      </c>
      <c r="H9" s="24" t="s">
        <v>195</v>
      </c>
      <c r="I9" s="24"/>
      <c r="J9" s="18" t="str">
        <f aca="false">IF(B9="","",IF(G9="No",IF(I9="Yes","Impaired – interim control",IF(H9="Yes","IMPAIRED – NO INTERIM CONTROL","Impaired – repair")),IF(F9="","Not scheduled",IF(F9&lt;Dashboard!$C$5,"Service overdue",IF(F9-Dashboard!$C$5&lt;=Lists!$R$5,"Due soon","In service")))))</f>
        <v>In service</v>
      </c>
      <c r="K9" s="10"/>
      <c r="L9" s="10"/>
    </row>
    <row r="10" customFormat="false" ht="52.2" hidden="false" customHeight="false" outlineLevel="0" collapsed="false">
      <c r="A10" s="10" t="s">
        <v>313</v>
      </c>
      <c r="B10" s="10" t="s">
        <v>314</v>
      </c>
      <c r="C10" s="10" t="s">
        <v>315</v>
      </c>
      <c r="D10" s="11" t="n">
        <v>46254</v>
      </c>
      <c r="E10" s="27" t="n">
        <v>90</v>
      </c>
      <c r="F10" s="28" t="n">
        <f aca="false">IF(OR(D10="",E10=""),"",D10+E10)</f>
        <v>46344</v>
      </c>
      <c r="G10" s="24" t="s">
        <v>195</v>
      </c>
      <c r="H10" s="24" t="s">
        <v>209</v>
      </c>
      <c r="I10" s="24" t="s">
        <v>209</v>
      </c>
      <c r="J10" s="18" t="str">
        <f aca="false">IF(B10="","",IF(G10="No",IF(I10="Yes","Impaired – interim control",IF(H10="Yes","IMPAIRED – NO INTERIM CONTROL","Impaired – repair")),IF(F10="","Not scheduled",IF(F10&lt;Dashboard!$C$5,"Service overdue",IF(F10-Dashboard!$C$5&lt;=Lists!$R$5,"Due soon","In service")))))</f>
        <v>Impaired – interim control</v>
      </c>
      <c r="K10" s="10"/>
      <c r="L10" s="10" t="s">
        <v>316</v>
      </c>
    </row>
    <row r="11" customFormat="false" ht="26.85" hidden="false" customHeight="false" outlineLevel="0" collapsed="false">
      <c r="A11" s="10" t="s">
        <v>317</v>
      </c>
      <c r="B11" s="10" t="s">
        <v>318</v>
      </c>
      <c r="C11" s="10" t="s">
        <v>156</v>
      </c>
      <c r="D11" s="11" t="n">
        <v>46203</v>
      </c>
      <c r="E11" s="27" t="n">
        <v>180</v>
      </c>
      <c r="F11" s="28" t="n">
        <f aca="false">IF(OR(D11="",E11=""),"",D11+E11)</f>
        <v>46383</v>
      </c>
      <c r="G11" s="24" t="s">
        <v>209</v>
      </c>
      <c r="H11" s="24" t="s">
        <v>209</v>
      </c>
      <c r="I11" s="24"/>
      <c r="J11" s="18" t="str">
        <f aca="false">IF(B11="","",IF(G11="No",IF(I11="Yes","Impaired – interim control",IF(H11="Yes","IMPAIRED – NO INTERIM CONTROL","Impaired – repair")),IF(F11="","Not scheduled",IF(F11&lt;Dashboard!$C$5,"Service overdue",IF(F11-Dashboard!$C$5&lt;=Lists!$R$5,"Due soon","In service")))))</f>
        <v>In service</v>
      </c>
      <c r="K11" s="10"/>
      <c r="L11" s="10"/>
    </row>
    <row r="12" customFormat="false" ht="26.85" hidden="false" customHeight="false" outlineLevel="0" collapsed="false">
      <c r="A12" s="10" t="s">
        <v>319</v>
      </c>
      <c r="B12" s="10" t="s">
        <v>320</v>
      </c>
      <c r="C12" s="10" t="s">
        <v>321</v>
      </c>
      <c r="D12" s="11" t="n">
        <v>46302</v>
      </c>
      <c r="E12" s="27" t="n">
        <v>90</v>
      </c>
      <c r="F12" s="28" t="n">
        <f aca="false">IF(OR(D12="",E12=""),"",D12+E12)</f>
        <v>46392</v>
      </c>
      <c r="G12" s="24" t="s">
        <v>209</v>
      </c>
      <c r="H12" s="24" t="s">
        <v>209</v>
      </c>
      <c r="I12" s="24"/>
      <c r="J12" s="18" t="str">
        <f aca="false">IF(B12="","",IF(G12="No",IF(I12="Yes","Impaired – interim control",IF(H12="Yes","IMPAIRED – NO INTERIM CONTROL","Impaired – repair")),IF(F12="","Not scheduled",IF(F12&lt;Dashboard!$C$5,"Service overdue",IF(F12-Dashboard!$C$5&lt;=Lists!$R$5,"Due soon","In service")))))</f>
        <v>In service</v>
      </c>
      <c r="K12" s="10"/>
      <c r="L12" s="10"/>
    </row>
    <row r="13" customFormat="false" ht="15" hidden="false" customHeight="false" outlineLevel="0" collapsed="false">
      <c r="A13" s="10"/>
      <c r="B13" s="10"/>
      <c r="C13" s="10"/>
      <c r="D13" s="11"/>
      <c r="E13" s="27"/>
      <c r="F13" s="28" t="str">
        <f aca="false">IF(OR(D13="",E13=""),"",D13+E13)</f>
        <v/>
      </c>
      <c r="G13" s="24"/>
      <c r="H13" s="24"/>
      <c r="I13" s="24"/>
      <c r="J13" s="18" t="str">
        <f aca="false">IF(B13="","",IF(G13="No",IF(I13="Yes","Impaired – interim control",IF(H13="Yes","IMPAIRED – NO INTERIM CONTROL","Impaired – repair")),IF(F13="","Not scheduled",IF(F13&lt;Dashboard!$C$5,"Service overdue",IF(F13-Dashboard!$C$5&lt;=Lists!$R$5,"Due soon","In service")))))</f>
        <v/>
      </c>
      <c r="K13" s="10"/>
      <c r="L13" s="10"/>
    </row>
    <row r="14" customFormat="false" ht="15" hidden="false" customHeight="false" outlineLevel="0" collapsed="false">
      <c r="A14" s="10"/>
      <c r="B14" s="10"/>
      <c r="C14" s="10"/>
      <c r="D14" s="11"/>
      <c r="E14" s="27"/>
      <c r="F14" s="28" t="str">
        <f aca="false">IF(OR(D14="",E14=""),"",D14+E14)</f>
        <v/>
      </c>
      <c r="G14" s="24"/>
      <c r="H14" s="24"/>
      <c r="I14" s="24"/>
      <c r="J14" s="18" t="str">
        <f aca="false">IF(B14="","",IF(G14="No",IF(I14="Yes","Impaired – interim control",IF(H14="Yes","IMPAIRED – NO INTERIM CONTROL","Impaired – repair")),IF(F14="","Not scheduled",IF(F14&lt;Dashboard!$C$5,"Service overdue",IF(F14-Dashboard!$C$5&lt;=Lists!$R$5,"Due soon","In service")))))</f>
        <v/>
      </c>
      <c r="K14" s="10"/>
      <c r="L14" s="10"/>
    </row>
    <row r="15" customFormat="false" ht="15" hidden="false" customHeight="false" outlineLevel="0" collapsed="false">
      <c r="A15" s="10"/>
      <c r="B15" s="10"/>
      <c r="C15" s="10"/>
      <c r="D15" s="11"/>
      <c r="E15" s="27"/>
      <c r="F15" s="28" t="str">
        <f aca="false">IF(OR(D15="",E15=""),"",D15+E15)</f>
        <v/>
      </c>
      <c r="G15" s="24"/>
      <c r="H15" s="24"/>
      <c r="I15" s="24"/>
      <c r="J15" s="18" t="str">
        <f aca="false">IF(B15="","",IF(G15="No",IF(I15="Yes","Impaired – interim control",IF(H15="Yes","IMPAIRED – NO INTERIM CONTROL","Impaired – repair")),IF(F15="","Not scheduled",IF(F15&lt;Dashboard!$C$5,"Service overdue",IF(F15-Dashboard!$C$5&lt;=Lists!$R$5,"Due soon","In service")))))</f>
        <v/>
      </c>
      <c r="K15" s="10"/>
      <c r="L15" s="10"/>
    </row>
    <row r="16" customFormat="false" ht="15" hidden="false" customHeight="false" outlineLevel="0" collapsed="false">
      <c r="A16" s="10"/>
      <c r="B16" s="10"/>
      <c r="C16" s="10"/>
      <c r="D16" s="11"/>
      <c r="E16" s="27"/>
      <c r="F16" s="28" t="str">
        <f aca="false">IF(OR(D16="",E16=""),"",D16+E16)</f>
        <v/>
      </c>
      <c r="G16" s="24"/>
      <c r="H16" s="24"/>
      <c r="I16" s="24"/>
      <c r="J16" s="18" t="str">
        <f aca="false">IF(B16="","",IF(G16="No",IF(I16="Yes","Impaired – interim control",IF(H16="Yes","IMPAIRED – NO INTERIM CONTROL","Impaired – repair")),IF(F16="","Not scheduled",IF(F16&lt;Dashboard!$C$5,"Service overdue",IF(F16-Dashboard!$C$5&lt;=Lists!$R$5,"Due soon","In service")))))</f>
        <v/>
      </c>
      <c r="K16" s="10"/>
      <c r="L16" s="10"/>
    </row>
    <row r="17" customFormat="false" ht="15" hidden="false" customHeight="false" outlineLevel="0" collapsed="false">
      <c r="A17" s="10"/>
      <c r="B17" s="10"/>
      <c r="C17" s="10"/>
      <c r="D17" s="11"/>
      <c r="E17" s="27"/>
      <c r="F17" s="28" t="str">
        <f aca="false">IF(OR(D17="",E17=""),"",D17+E17)</f>
        <v/>
      </c>
      <c r="G17" s="24"/>
      <c r="H17" s="24"/>
      <c r="I17" s="24"/>
      <c r="J17" s="18" t="str">
        <f aca="false">IF(B17="","",IF(G17="No",IF(I17="Yes","Impaired – interim control",IF(H17="Yes","IMPAIRED – NO INTERIM CONTROL","Impaired – repair")),IF(F17="","Not scheduled",IF(F17&lt;Dashboard!$C$5,"Service overdue",IF(F17-Dashboard!$C$5&lt;=Lists!$R$5,"Due soon","In service")))))</f>
        <v/>
      </c>
      <c r="K17" s="10"/>
      <c r="L17" s="10"/>
    </row>
    <row r="18" customFormat="false" ht="15" hidden="false" customHeight="false" outlineLevel="0" collapsed="false">
      <c r="A18" s="10"/>
      <c r="B18" s="10"/>
      <c r="C18" s="10"/>
      <c r="D18" s="11"/>
      <c r="E18" s="27"/>
      <c r="F18" s="28" t="str">
        <f aca="false">IF(OR(D18="",E18=""),"",D18+E18)</f>
        <v/>
      </c>
      <c r="G18" s="24"/>
      <c r="H18" s="24"/>
      <c r="I18" s="24"/>
      <c r="J18" s="18" t="str">
        <f aca="false">IF(B18="","",IF(G18="No",IF(I18="Yes","Impaired – interim control",IF(H18="Yes","IMPAIRED – NO INTERIM CONTROL","Impaired – repair")),IF(F18="","Not scheduled",IF(F18&lt;Dashboard!$C$5,"Service overdue",IF(F18-Dashboard!$C$5&lt;=Lists!$R$5,"Due soon","In service")))))</f>
        <v/>
      </c>
      <c r="K18" s="10"/>
      <c r="L18" s="10"/>
    </row>
    <row r="19" customFormat="false" ht="15" hidden="false" customHeight="false" outlineLevel="0" collapsed="false">
      <c r="A19" s="10"/>
      <c r="B19" s="10"/>
      <c r="C19" s="10"/>
      <c r="D19" s="11"/>
      <c r="E19" s="27"/>
      <c r="F19" s="28" t="str">
        <f aca="false">IF(OR(D19="",E19=""),"",D19+E19)</f>
        <v/>
      </c>
      <c r="G19" s="24"/>
      <c r="H19" s="24"/>
      <c r="I19" s="24"/>
      <c r="J19" s="18" t="str">
        <f aca="false">IF(B19="","",IF(G19="No",IF(I19="Yes","Impaired – interim control",IF(H19="Yes","IMPAIRED – NO INTERIM CONTROL","Impaired – repair")),IF(F19="","Not scheduled",IF(F19&lt;Dashboard!$C$5,"Service overdue",IF(F19-Dashboard!$C$5&lt;=Lists!$R$5,"Due soon","In service")))))</f>
        <v/>
      </c>
      <c r="K19" s="10"/>
      <c r="L19" s="10"/>
    </row>
    <row r="20" customFormat="false" ht="15" hidden="false" customHeight="false" outlineLevel="0" collapsed="false">
      <c r="A20" s="10"/>
      <c r="B20" s="10"/>
      <c r="C20" s="10"/>
      <c r="D20" s="11"/>
      <c r="E20" s="27"/>
      <c r="F20" s="28" t="str">
        <f aca="false">IF(OR(D20="",E20=""),"",D20+E20)</f>
        <v/>
      </c>
      <c r="G20" s="24"/>
      <c r="H20" s="24"/>
      <c r="I20" s="24"/>
      <c r="J20" s="18" t="str">
        <f aca="false">IF(B20="","",IF(G20="No",IF(I20="Yes","Impaired – interim control",IF(H20="Yes","IMPAIRED – NO INTERIM CONTROL","Impaired – repair")),IF(F20="","Not scheduled",IF(F20&lt;Dashboard!$C$5,"Service overdue",IF(F20-Dashboard!$C$5&lt;=Lists!$R$5,"Due soon","In service")))))</f>
        <v/>
      </c>
      <c r="K20" s="10"/>
      <c r="L20" s="10"/>
    </row>
    <row r="21" customFormat="false" ht="15" hidden="false" customHeight="false" outlineLevel="0" collapsed="false">
      <c r="A21" s="10"/>
      <c r="B21" s="10"/>
      <c r="C21" s="10"/>
      <c r="D21" s="11"/>
      <c r="E21" s="27"/>
      <c r="F21" s="28" t="str">
        <f aca="false">IF(OR(D21="",E21=""),"",D21+E21)</f>
        <v/>
      </c>
      <c r="G21" s="24"/>
      <c r="H21" s="24"/>
      <c r="I21" s="24"/>
      <c r="J21" s="18" t="str">
        <f aca="false">IF(B21="","",IF(G21="No",IF(I21="Yes","Impaired – interim control",IF(H21="Yes","IMPAIRED – NO INTERIM CONTROL","Impaired – repair")),IF(F21="","Not scheduled",IF(F21&lt;Dashboard!$C$5,"Service overdue",IF(F21-Dashboard!$C$5&lt;=Lists!$R$5,"Due soon","In service")))))</f>
        <v/>
      </c>
      <c r="K21" s="10"/>
      <c r="L21" s="10"/>
    </row>
    <row r="22" customFormat="false" ht="15" hidden="false" customHeight="false" outlineLevel="0" collapsed="false">
      <c r="A22" s="10"/>
      <c r="B22" s="10"/>
      <c r="C22" s="10"/>
      <c r="D22" s="11"/>
      <c r="E22" s="27"/>
      <c r="F22" s="28" t="str">
        <f aca="false">IF(OR(D22="",E22=""),"",D22+E22)</f>
        <v/>
      </c>
      <c r="G22" s="24"/>
      <c r="H22" s="24"/>
      <c r="I22" s="24"/>
      <c r="J22" s="18" t="str">
        <f aca="false">IF(B22="","",IF(G22="No",IF(I22="Yes","Impaired – interim control",IF(H22="Yes","IMPAIRED – NO INTERIM CONTROL","Impaired – repair")),IF(F22="","Not scheduled",IF(F22&lt;Dashboard!$C$5,"Service overdue",IF(F22-Dashboard!$C$5&lt;=Lists!$R$5,"Due soon","In service")))))</f>
        <v/>
      </c>
      <c r="K22" s="10"/>
      <c r="L22" s="10"/>
    </row>
    <row r="23" customFormat="false" ht="15" hidden="false" customHeight="false" outlineLevel="0" collapsed="false">
      <c r="A23" s="10"/>
      <c r="B23" s="10"/>
      <c r="C23" s="10"/>
      <c r="D23" s="11"/>
      <c r="E23" s="27"/>
      <c r="F23" s="28" t="str">
        <f aca="false">IF(OR(D23="",E23=""),"",D23+E23)</f>
        <v/>
      </c>
      <c r="G23" s="24"/>
      <c r="H23" s="24"/>
      <c r="I23" s="24"/>
      <c r="J23" s="18" t="str">
        <f aca="false">IF(B23="","",IF(G23="No",IF(I23="Yes","Impaired – interim control",IF(H23="Yes","IMPAIRED – NO INTERIM CONTROL","Impaired – repair")),IF(F23="","Not scheduled",IF(F23&lt;Dashboard!$C$5,"Service overdue",IF(F23-Dashboard!$C$5&lt;=Lists!$R$5,"Due soon","In service")))))</f>
        <v/>
      </c>
      <c r="K23" s="10"/>
      <c r="L23" s="10"/>
    </row>
    <row r="24" customFormat="false" ht="15" hidden="false" customHeight="false" outlineLevel="0" collapsed="false">
      <c r="A24" s="10"/>
      <c r="B24" s="10"/>
      <c r="C24" s="10"/>
      <c r="D24" s="11"/>
      <c r="E24" s="27"/>
      <c r="F24" s="28" t="str">
        <f aca="false">IF(OR(D24="",E24=""),"",D24+E24)</f>
        <v/>
      </c>
      <c r="G24" s="24"/>
      <c r="H24" s="24"/>
      <c r="I24" s="24"/>
      <c r="J24" s="18" t="str">
        <f aca="false">IF(B24="","",IF(G24="No",IF(I24="Yes","Impaired – interim control",IF(H24="Yes","IMPAIRED – NO INTERIM CONTROL","Impaired – repair")),IF(F24="","Not scheduled",IF(F24&lt;Dashboard!$C$5,"Service overdue",IF(F24-Dashboard!$C$5&lt;=Lists!$R$5,"Due soon","In service")))))</f>
        <v/>
      </c>
      <c r="K24" s="10"/>
      <c r="L24" s="10"/>
    </row>
    <row r="25" customFormat="false" ht="15" hidden="false" customHeight="false" outlineLevel="0" collapsed="false">
      <c r="A25" s="10"/>
      <c r="B25" s="10"/>
      <c r="C25" s="10"/>
      <c r="D25" s="11"/>
      <c r="E25" s="27"/>
      <c r="F25" s="28" t="str">
        <f aca="false">IF(OR(D25="",E25=""),"",D25+E25)</f>
        <v/>
      </c>
      <c r="G25" s="24"/>
      <c r="H25" s="24"/>
      <c r="I25" s="24"/>
      <c r="J25" s="18" t="str">
        <f aca="false">IF(B25="","",IF(G25="No",IF(I25="Yes","Impaired – interim control",IF(H25="Yes","IMPAIRED – NO INTERIM CONTROL","Impaired – repair")),IF(F25="","Not scheduled",IF(F25&lt;Dashboard!$C$5,"Service overdue",IF(F25-Dashboard!$C$5&lt;=Lists!$R$5,"Due soon","In service")))))</f>
        <v/>
      </c>
      <c r="K25" s="10"/>
      <c r="L25" s="10"/>
    </row>
    <row r="26" customFormat="false" ht="15" hidden="false" customHeight="false" outlineLevel="0" collapsed="false">
      <c r="A26" s="10"/>
      <c r="B26" s="10"/>
      <c r="C26" s="10"/>
      <c r="D26" s="11"/>
      <c r="E26" s="27"/>
      <c r="F26" s="28" t="str">
        <f aca="false">IF(OR(D26="",E26=""),"",D26+E26)</f>
        <v/>
      </c>
      <c r="G26" s="24"/>
      <c r="H26" s="24"/>
      <c r="I26" s="24"/>
      <c r="J26" s="18" t="str">
        <f aca="false">IF(B26="","",IF(G26="No",IF(I26="Yes","Impaired – interim control",IF(H26="Yes","IMPAIRED – NO INTERIM CONTROL","Impaired – repair")),IF(F26="","Not scheduled",IF(F26&lt;Dashboard!$C$5,"Service overdue",IF(F26-Dashboard!$C$5&lt;=Lists!$R$5,"Due soon","In service")))))</f>
        <v/>
      </c>
      <c r="K26" s="10"/>
      <c r="L26" s="10"/>
    </row>
    <row r="27" customFormat="false" ht="15" hidden="false" customHeight="false" outlineLevel="0" collapsed="false">
      <c r="A27" s="10"/>
      <c r="B27" s="10"/>
      <c r="C27" s="10"/>
      <c r="D27" s="11"/>
      <c r="E27" s="27"/>
      <c r="F27" s="28" t="str">
        <f aca="false">IF(OR(D27="",E27=""),"",D27+E27)</f>
        <v/>
      </c>
      <c r="G27" s="24"/>
      <c r="H27" s="24"/>
      <c r="I27" s="24"/>
      <c r="J27" s="18" t="str">
        <f aca="false">IF(B27="","",IF(G27="No",IF(I27="Yes","Impaired – interim control",IF(H27="Yes","IMPAIRED – NO INTERIM CONTROL","Impaired – repair")),IF(F27="","Not scheduled",IF(F27&lt;Dashboard!$C$5,"Service overdue",IF(F27-Dashboard!$C$5&lt;=Lists!$R$5,"Due soon","In service")))))</f>
        <v/>
      </c>
      <c r="K27" s="10"/>
      <c r="L27" s="10"/>
    </row>
    <row r="28" customFormat="false" ht="15" hidden="false" customHeight="false" outlineLevel="0" collapsed="false">
      <c r="A28" s="10"/>
      <c r="B28" s="10"/>
      <c r="C28" s="10"/>
      <c r="D28" s="11"/>
      <c r="E28" s="27"/>
      <c r="F28" s="28" t="str">
        <f aca="false">IF(OR(D28="",E28=""),"",D28+E28)</f>
        <v/>
      </c>
      <c r="G28" s="24"/>
      <c r="H28" s="24"/>
      <c r="I28" s="24"/>
      <c r="J28" s="18" t="str">
        <f aca="false">IF(B28="","",IF(G28="No",IF(I28="Yes","Impaired – interim control",IF(H28="Yes","IMPAIRED – NO INTERIM CONTROL","Impaired – repair")),IF(F28="","Not scheduled",IF(F28&lt;Dashboard!$C$5,"Service overdue",IF(F28-Dashboard!$C$5&lt;=Lists!$R$5,"Due soon","In service")))))</f>
        <v/>
      </c>
      <c r="K28" s="10"/>
      <c r="L28" s="10"/>
    </row>
    <row r="29" customFormat="false" ht="15" hidden="false" customHeight="false" outlineLevel="0" collapsed="false">
      <c r="A29" s="10"/>
      <c r="B29" s="10"/>
      <c r="C29" s="10"/>
      <c r="D29" s="11"/>
      <c r="E29" s="27"/>
      <c r="F29" s="28" t="str">
        <f aca="false">IF(OR(D29="",E29=""),"",D29+E29)</f>
        <v/>
      </c>
      <c r="G29" s="24"/>
      <c r="H29" s="24"/>
      <c r="I29" s="24"/>
      <c r="J29" s="18" t="str">
        <f aca="false">IF(B29="","",IF(G29="No",IF(I29="Yes","Impaired – interim control",IF(H29="Yes","IMPAIRED – NO INTERIM CONTROL","Impaired – repair")),IF(F29="","Not scheduled",IF(F29&lt;Dashboard!$C$5,"Service overdue",IF(F29-Dashboard!$C$5&lt;=Lists!$R$5,"Due soon","In service")))))</f>
        <v/>
      </c>
      <c r="K29" s="10"/>
      <c r="L29" s="10"/>
    </row>
    <row r="30" customFormat="false" ht="15" hidden="false" customHeight="false" outlineLevel="0" collapsed="false">
      <c r="A30" s="10"/>
      <c r="B30" s="10"/>
      <c r="C30" s="10"/>
      <c r="D30" s="11"/>
      <c r="E30" s="27"/>
      <c r="F30" s="28" t="str">
        <f aca="false">IF(OR(D30="",E30=""),"",D30+E30)</f>
        <v/>
      </c>
      <c r="G30" s="24"/>
      <c r="H30" s="24"/>
      <c r="I30" s="24"/>
      <c r="J30" s="18" t="str">
        <f aca="false">IF(B30="","",IF(G30="No",IF(I30="Yes","Impaired – interim control",IF(H30="Yes","IMPAIRED – NO INTERIM CONTROL","Impaired – repair")),IF(F30="","Not scheduled",IF(F30&lt;Dashboard!$C$5,"Service overdue",IF(F30-Dashboard!$C$5&lt;=Lists!$R$5,"Due soon","In service")))))</f>
        <v/>
      </c>
      <c r="K30" s="10"/>
      <c r="L30" s="10"/>
    </row>
    <row r="31" customFormat="false" ht="15" hidden="false" customHeight="false" outlineLevel="0" collapsed="false">
      <c r="A31" s="10"/>
      <c r="B31" s="10"/>
      <c r="C31" s="10"/>
      <c r="D31" s="11"/>
      <c r="E31" s="27"/>
      <c r="F31" s="28" t="str">
        <f aca="false">IF(OR(D31="",E31=""),"",D31+E31)</f>
        <v/>
      </c>
      <c r="G31" s="24"/>
      <c r="H31" s="24"/>
      <c r="I31" s="24"/>
      <c r="J31" s="18" t="str">
        <f aca="false">IF(B31="","",IF(G31="No",IF(I31="Yes","Impaired – interim control",IF(H31="Yes","IMPAIRED – NO INTERIM CONTROL","Impaired – repair")),IF(F31="","Not scheduled",IF(F31&lt;Dashboard!$C$5,"Service overdue",IF(F31-Dashboard!$C$5&lt;=Lists!$R$5,"Due soon","In service")))))</f>
        <v/>
      </c>
      <c r="K31" s="10"/>
      <c r="L31" s="10"/>
    </row>
    <row r="32" customFormat="false" ht="15" hidden="false" customHeight="false" outlineLevel="0" collapsed="false">
      <c r="A32" s="10"/>
      <c r="B32" s="10"/>
      <c r="C32" s="10"/>
      <c r="D32" s="11"/>
      <c r="E32" s="27"/>
      <c r="F32" s="28" t="str">
        <f aca="false">IF(OR(D32="",E32=""),"",D32+E32)</f>
        <v/>
      </c>
      <c r="G32" s="24"/>
      <c r="H32" s="24"/>
      <c r="I32" s="24"/>
      <c r="J32" s="18" t="str">
        <f aca="false">IF(B32="","",IF(G32="No",IF(I32="Yes","Impaired – interim control",IF(H32="Yes","IMPAIRED – NO INTERIM CONTROL","Impaired – repair")),IF(F32="","Not scheduled",IF(F32&lt;Dashboard!$C$5,"Service overdue",IF(F32-Dashboard!$C$5&lt;=Lists!$R$5,"Due soon","In service")))))</f>
        <v/>
      </c>
      <c r="K32" s="10"/>
      <c r="L32" s="10"/>
    </row>
    <row r="33" customFormat="false" ht="15" hidden="false" customHeight="false" outlineLevel="0" collapsed="false">
      <c r="A33" s="10"/>
      <c r="B33" s="10"/>
      <c r="C33" s="10"/>
      <c r="D33" s="11"/>
      <c r="E33" s="27"/>
      <c r="F33" s="28" t="str">
        <f aca="false">IF(OR(D33="",E33=""),"",D33+E33)</f>
        <v/>
      </c>
      <c r="G33" s="24"/>
      <c r="H33" s="24"/>
      <c r="I33" s="24"/>
      <c r="J33" s="18" t="str">
        <f aca="false">IF(B33="","",IF(G33="No",IF(I33="Yes","Impaired – interim control",IF(H33="Yes","IMPAIRED – NO INTERIM CONTROL","Impaired – repair")),IF(F33="","Not scheduled",IF(F33&lt;Dashboard!$C$5,"Service overdue",IF(F33-Dashboard!$C$5&lt;=Lists!$R$5,"Due soon","In service")))))</f>
        <v/>
      </c>
      <c r="K33" s="10"/>
      <c r="L33" s="10"/>
    </row>
    <row r="34" customFormat="false" ht="15" hidden="false" customHeight="false" outlineLevel="0" collapsed="false">
      <c r="A34" s="10"/>
      <c r="B34" s="10"/>
      <c r="C34" s="10"/>
      <c r="D34" s="11"/>
      <c r="E34" s="27"/>
      <c r="F34" s="28" t="str">
        <f aca="false">IF(OR(D34="",E34=""),"",D34+E34)</f>
        <v/>
      </c>
      <c r="G34" s="24"/>
      <c r="H34" s="24"/>
      <c r="I34" s="24"/>
      <c r="J34" s="18" t="str">
        <f aca="false">IF(B34="","",IF(G34="No",IF(I34="Yes","Impaired – interim control",IF(H34="Yes","IMPAIRED – NO INTERIM CONTROL","Impaired – repair")),IF(F34="","Not scheduled",IF(F34&lt;Dashboard!$C$5,"Service overdue",IF(F34-Dashboard!$C$5&lt;=Lists!$R$5,"Due soon","In service")))))</f>
        <v/>
      </c>
      <c r="K34" s="10"/>
      <c r="L34" s="10"/>
    </row>
    <row r="35" customFormat="false" ht="15" hidden="false" customHeight="false" outlineLevel="0" collapsed="false">
      <c r="A35" s="10"/>
      <c r="B35" s="10"/>
      <c r="C35" s="10"/>
      <c r="D35" s="11"/>
      <c r="E35" s="27"/>
      <c r="F35" s="28" t="str">
        <f aca="false">IF(OR(D35="",E35=""),"",D35+E35)</f>
        <v/>
      </c>
      <c r="G35" s="24"/>
      <c r="H35" s="24"/>
      <c r="I35" s="24"/>
      <c r="J35" s="18" t="str">
        <f aca="false">IF(B35="","",IF(G35="No",IF(I35="Yes","Impaired – interim control",IF(H35="Yes","IMPAIRED – NO INTERIM CONTROL","Impaired – repair")),IF(F35="","Not scheduled",IF(F35&lt;Dashboard!$C$5,"Service overdue",IF(F35-Dashboard!$C$5&lt;=Lists!$R$5,"Due soon","In service")))))</f>
        <v/>
      </c>
      <c r="K35" s="10"/>
      <c r="L35" s="10"/>
    </row>
    <row r="36" customFormat="false" ht="15" hidden="false" customHeight="false" outlineLevel="0" collapsed="false">
      <c r="A36" s="10"/>
      <c r="B36" s="10"/>
      <c r="C36" s="10"/>
      <c r="D36" s="11"/>
      <c r="E36" s="27"/>
      <c r="F36" s="28" t="str">
        <f aca="false">IF(OR(D36="",E36=""),"",D36+E36)</f>
        <v/>
      </c>
      <c r="G36" s="24"/>
      <c r="H36" s="24"/>
      <c r="I36" s="24"/>
      <c r="J36" s="18" t="str">
        <f aca="false">IF(B36="","",IF(G36="No",IF(I36="Yes","Impaired – interim control",IF(H36="Yes","IMPAIRED – NO INTERIM CONTROL","Impaired – repair")),IF(F36="","Not scheduled",IF(F36&lt;Dashboard!$C$5,"Service overdue",IF(F36-Dashboard!$C$5&lt;=Lists!$R$5,"Due soon","In service")))))</f>
        <v/>
      </c>
      <c r="K36" s="10"/>
      <c r="L36" s="10"/>
    </row>
    <row r="37" customFormat="false" ht="15" hidden="false" customHeight="false" outlineLevel="0" collapsed="false">
      <c r="A37" s="10"/>
      <c r="B37" s="10"/>
      <c r="C37" s="10"/>
      <c r="D37" s="11"/>
      <c r="E37" s="27"/>
      <c r="F37" s="28" t="str">
        <f aca="false">IF(OR(D37="",E37=""),"",D37+E37)</f>
        <v/>
      </c>
      <c r="G37" s="24"/>
      <c r="H37" s="24"/>
      <c r="I37" s="24"/>
      <c r="J37" s="18" t="str">
        <f aca="false">IF(B37="","",IF(G37="No",IF(I37="Yes","Impaired – interim control",IF(H37="Yes","IMPAIRED – NO INTERIM CONTROL","Impaired – repair")),IF(F37="","Not scheduled",IF(F37&lt;Dashboard!$C$5,"Service overdue",IF(F37-Dashboard!$C$5&lt;=Lists!$R$5,"Due soon","In service")))))</f>
        <v/>
      </c>
      <c r="K37" s="10"/>
      <c r="L37" s="10"/>
    </row>
    <row r="38" customFormat="false" ht="15" hidden="false" customHeight="false" outlineLevel="0" collapsed="false">
      <c r="A38" s="10"/>
      <c r="B38" s="10"/>
      <c r="C38" s="10"/>
      <c r="D38" s="11"/>
      <c r="E38" s="27"/>
      <c r="F38" s="28" t="str">
        <f aca="false">IF(OR(D38="",E38=""),"",D38+E38)</f>
        <v/>
      </c>
      <c r="G38" s="24"/>
      <c r="H38" s="24"/>
      <c r="I38" s="24"/>
      <c r="J38" s="18" t="str">
        <f aca="false">IF(B38="","",IF(G38="No",IF(I38="Yes","Impaired – interim control",IF(H38="Yes","IMPAIRED – NO INTERIM CONTROL","Impaired – repair")),IF(F38="","Not scheduled",IF(F38&lt;Dashboard!$C$5,"Service overdue",IF(F38-Dashboard!$C$5&lt;=Lists!$R$5,"Due soon","In service")))))</f>
        <v/>
      </c>
      <c r="K38" s="10"/>
      <c r="L38" s="10"/>
    </row>
    <row r="39" customFormat="false" ht="15" hidden="false" customHeight="false" outlineLevel="0" collapsed="false">
      <c r="A39" s="10"/>
      <c r="B39" s="10"/>
      <c r="C39" s="10"/>
      <c r="D39" s="11"/>
      <c r="E39" s="27"/>
      <c r="F39" s="28" t="str">
        <f aca="false">IF(OR(D39="",E39=""),"",D39+E39)</f>
        <v/>
      </c>
      <c r="G39" s="24"/>
      <c r="H39" s="24"/>
      <c r="I39" s="24"/>
      <c r="J39" s="18" t="str">
        <f aca="false">IF(B39="","",IF(G39="No",IF(I39="Yes","Impaired – interim control",IF(H39="Yes","IMPAIRED – NO INTERIM CONTROL","Impaired – repair")),IF(F39="","Not scheduled",IF(F39&lt;Dashboard!$C$5,"Service overdue",IF(F39-Dashboard!$C$5&lt;=Lists!$R$5,"Due soon","In service")))))</f>
        <v/>
      </c>
      <c r="K39" s="10"/>
      <c r="L39" s="10"/>
    </row>
    <row r="40" customFormat="false" ht="15" hidden="false" customHeight="false" outlineLevel="0" collapsed="false">
      <c r="A40" s="10"/>
      <c r="B40" s="10"/>
      <c r="C40" s="10"/>
      <c r="D40" s="11"/>
      <c r="E40" s="27"/>
      <c r="F40" s="28" t="str">
        <f aca="false">IF(OR(D40="",E40=""),"",D40+E40)</f>
        <v/>
      </c>
      <c r="G40" s="24"/>
      <c r="H40" s="24"/>
      <c r="I40" s="24"/>
      <c r="J40" s="18" t="str">
        <f aca="false">IF(B40="","",IF(G40="No",IF(I40="Yes","Impaired – interim control",IF(H40="Yes","IMPAIRED – NO INTERIM CONTROL","Impaired – repair")),IF(F40="","Not scheduled",IF(F40&lt;Dashboard!$C$5,"Service overdue",IF(F40-Dashboard!$C$5&lt;=Lists!$R$5,"Due soon","In service")))))</f>
        <v/>
      </c>
      <c r="K40" s="10"/>
      <c r="L40" s="10"/>
    </row>
    <row r="41" customFormat="false" ht="15" hidden="false" customHeight="false" outlineLevel="0" collapsed="false">
      <c r="A41" s="10"/>
      <c r="B41" s="10"/>
      <c r="C41" s="10"/>
      <c r="D41" s="11"/>
      <c r="E41" s="27"/>
      <c r="F41" s="28" t="str">
        <f aca="false">IF(OR(D41="",E41=""),"",D41+E41)</f>
        <v/>
      </c>
      <c r="G41" s="24"/>
      <c r="H41" s="24"/>
      <c r="I41" s="24"/>
      <c r="J41" s="18" t="str">
        <f aca="false">IF(B41="","",IF(G41="No",IF(I41="Yes","Impaired – interim control",IF(H41="Yes","IMPAIRED – NO INTERIM CONTROL","Impaired – repair")),IF(F41="","Not scheduled",IF(F41&lt;Dashboard!$C$5,"Service overdue",IF(F41-Dashboard!$C$5&lt;=Lists!$R$5,"Due soon","In service")))))</f>
        <v/>
      </c>
      <c r="K41" s="10"/>
      <c r="L41" s="10"/>
    </row>
    <row r="42" customFormat="false" ht="15" hidden="false" customHeight="false" outlineLevel="0" collapsed="false">
      <c r="A42" s="10"/>
      <c r="B42" s="10"/>
      <c r="C42" s="10"/>
      <c r="D42" s="11"/>
      <c r="E42" s="27"/>
      <c r="F42" s="28" t="str">
        <f aca="false">IF(OR(D42="",E42=""),"",D42+E42)</f>
        <v/>
      </c>
      <c r="G42" s="24"/>
      <c r="H42" s="24"/>
      <c r="I42" s="24"/>
      <c r="J42" s="18" t="str">
        <f aca="false">IF(B42="","",IF(G42="No",IF(I42="Yes","Impaired – interim control",IF(H42="Yes","IMPAIRED – NO INTERIM CONTROL","Impaired – repair")),IF(F42="","Not scheduled",IF(F42&lt;Dashboard!$C$5,"Service overdue",IF(F42-Dashboard!$C$5&lt;=Lists!$R$5,"Due soon","In service")))))</f>
        <v/>
      </c>
      <c r="K42" s="10"/>
      <c r="L42" s="10"/>
    </row>
    <row r="43" customFormat="false" ht="15" hidden="false" customHeight="false" outlineLevel="0" collapsed="false">
      <c r="A43" s="10"/>
      <c r="B43" s="10"/>
      <c r="C43" s="10"/>
      <c r="D43" s="11"/>
      <c r="E43" s="27"/>
      <c r="F43" s="28" t="str">
        <f aca="false">IF(OR(D43="",E43=""),"",D43+E43)</f>
        <v/>
      </c>
      <c r="G43" s="24"/>
      <c r="H43" s="24"/>
      <c r="I43" s="24"/>
      <c r="J43" s="18" t="str">
        <f aca="false">IF(B43="","",IF(G43="No",IF(I43="Yes","Impaired – interim control",IF(H43="Yes","IMPAIRED – NO INTERIM CONTROL","Impaired – repair")),IF(F43="","Not scheduled",IF(F43&lt;Dashboard!$C$5,"Service overdue",IF(F43-Dashboard!$C$5&lt;=Lists!$R$5,"Due soon","In service")))))</f>
        <v/>
      </c>
      <c r="K43" s="10"/>
      <c r="L43" s="10"/>
    </row>
    <row r="44" customFormat="false" ht="15" hidden="false" customHeight="false" outlineLevel="0" collapsed="false">
      <c r="A44" s="10"/>
      <c r="B44" s="10"/>
      <c r="C44" s="10"/>
      <c r="D44" s="11"/>
      <c r="E44" s="27"/>
      <c r="F44" s="28" t="str">
        <f aca="false">IF(OR(D44="",E44=""),"",D44+E44)</f>
        <v/>
      </c>
      <c r="G44" s="24"/>
      <c r="H44" s="24"/>
      <c r="I44" s="24"/>
      <c r="J44" s="18" t="str">
        <f aca="false">IF(B44="","",IF(G44="No",IF(I44="Yes","Impaired – interim control",IF(H44="Yes","IMPAIRED – NO INTERIM CONTROL","Impaired – repair")),IF(F44="","Not scheduled",IF(F44&lt;Dashboard!$C$5,"Service overdue",IF(F44-Dashboard!$C$5&lt;=Lists!$R$5,"Due soon","In service")))))</f>
        <v/>
      </c>
      <c r="K44" s="10"/>
      <c r="L44" s="10"/>
    </row>
    <row r="45" customFormat="false" ht="15" hidden="false" customHeight="false" outlineLevel="0" collapsed="false">
      <c r="A45" s="10"/>
      <c r="B45" s="10"/>
      <c r="C45" s="10"/>
      <c r="D45" s="11"/>
      <c r="E45" s="27"/>
      <c r="F45" s="28" t="str">
        <f aca="false">IF(OR(D45="",E45=""),"",D45+E45)</f>
        <v/>
      </c>
      <c r="G45" s="24"/>
      <c r="H45" s="24"/>
      <c r="I45" s="24"/>
      <c r="J45" s="18" t="str">
        <f aca="false">IF(B45="","",IF(G45="No",IF(I45="Yes","Impaired – interim control",IF(H45="Yes","IMPAIRED – NO INTERIM CONTROL","Impaired – repair")),IF(F45="","Not scheduled",IF(F45&lt;Dashboard!$C$5,"Service overdue",IF(F45-Dashboard!$C$5&lt;=Lists!$R$5,"Due soon","In service")))))</f>
        <v/>
      </c>
      <c r="K45" s="10"/>
      <c r="L45" s="10"/>
    </row>
    <row r="46" customFormat="false" ht="15" hidden="false" customHeight="false" outlineLevel="0" collapsed="false">
      <c r="A46" s="10"/>
      <c r="B46" s="10"/>
      <c r="C46" s="10"/>
      <c r="D46" s="11"/>
      <c r="E46" s="27"/>
      <c r="F46" s="28" t="str">
        <f aca="false">IF(OR(D46="",E46=""),"",D46+E46)</f>
        <v/>
      </c>
      <c r="G46" s="24"/>
      <c r="H46" s="24"/>
      <c r="I46" s="24"/>
      <c r="J46" s="18" t="str">
        <f aca="false">IF(B46="","",IF(G46="No",IF(I46="Yes","Impaired – interim control",IF(H46="Yes","IMPAIRED – NO INTERIM CONTROL","Impaired – repair")),IF(F46="","Not scheduled",IF(F46&lt;Dashboard!$C$5,"Service overdue",IF(F46-Dashboard!$C$5&lt;=Lists!$R$5,"Due soon","In service")))))</f>
        <v/>
      </c>
      <c r="K46" s="10"/>
      <c r="L46" s="10"/>
    </row>
    <row r="47" customFormat="false" ht="15" hidden="false" customHeight="false" outlineLevel="0" collapsed="false">
      <c r="A47" s="10"/>
      <c r="B47" s="10"/>
      <c r="C47" s="10"/>
      <c r="D47" s="11"/>
      <c r="E47" s="27"/>
      <c r="F47" s="28" t="str">
        <f aca="false">IF(OR(D47="",E47=""),"",D47+E47)</f>
        <v/>
      </c>
      <c r="G47" s="24"/>
      <c r="H47" s="24"/>
      <c r="I47" s="24"/>
      <c r="J47" s="18" t="str">
        <f aca="false">IF(B47="","",IF(G47="No",IF(I47="Yes","Impaired – interim control",IF(H47="Yes","IMPAIRED – NO INTERIM CONTROL","Impaired – repair")),IF(F47="","Not scheduled",IF(F47&lt;Dashboard!$C$5,"Service overdue",IF(F47-Dashboard!$C$5&lt;=Lists!$R$5,"Due soon","In service")))))</f>
        <v/>
      </c>
      <c r="K47" s="10"/>
      <c r="L47" s="10"/>
    </row>
    <row r="48" customFormat="false" ht="15" hidden="false" customHeight="false" outlineLevel="0" collapsed="false">
      <c r="A48" s="10"/>
      <c r="B48" s="10"/>
      <c r="C48" s="10"/>
      <c r="D48" s="11"/>
      <c r="E48" s="27"/>
      <c r="F48" s="28" t="str">
        <f aca="false">IF(OR(D48="",E48=""),"",D48+E48)</f>
        <v/>
      </c>
      <c r="G48" s="24"/>
      <c r="H48" s="24"/>
      <c r="I48" s="24"/>
      <c r="J48" s="18" t="str">
        <f aca="false">IF(B48="","",IF(G48="No",IF(I48="Yes","Impaired – interim control",IF(H48="Yes","IMPAIRED – NO INTERIM CONTROL","Impaired – repair")),IF(F48="","Not scheduled",IF(F48&lt;Dashboard!$C$5,"Service overdue",IF(F48-Dashboard!$C$5&lt;=Lists!$R$5,"Due soon","In service")))))</f>
        <v/>
      </c>
      <c r="K48" s="10"/>
      <c r="L48" s="10"/>
    </row>
    <row r="49" customFormat="false" ht="15" hidden="false" customHeight="false" outlineLevel="0" collapsed="false">
      <c r="A49" s="10"/>
      <c r="B49" s="10"/>
      <c r="C49" s="10"/>
      <c r="D49" s="11"/>
      <c r="E49" s="27"/>
      <c r="F49" s="28" t="str">
        <f aca="false">IF(OR(D49="",E49=""),"",D49+E49)</f>
        <v/>
      </c>
      <c r="G49" s="24"/>
      <c r="H49" s="24"/>
      <c r="I49" s="24"/>
      <c r="J49" s="18" t="str">
        <f aca="false">IF(B49="","",IF(G49="No",IF(I49="Yes","Impaired – interim control",IF(H49="Yes","IMPAIRED – NO INTERIM CONTROL","Impaired – repair")),IF(F49="","Not scheduled",IF(F49&lt;Dashboard!$C$5,"Service overdue",IF(F49-Dashboard!$C$5&lt;=Lists!$R$5,"Due soon","In service")))))</f>
        <v/>
      </c>
      <c r="K49" s="10"/>
      <c r="L49" s="10"/>
    </row>
    <row r="50" customFormat="false" ht="15" hidden="false" customHeight="false" outlineLevel="0" collapsed="false">
      <c r="A50" s="10"/>
      <c r="B50" s="10"/>
      <c r="C50" s="10"/>
      <c r="D50" s="11"/>
      <c r="E50" s="27"/>
      <c r="F50" s="28" t="str">
        <f aca="false">IF(OR(D50="",E50=""),"",D50+E50)</f>
        <v/>
      </c>
      <c r="G50" s="24"/>
      <c r="H50" s="24"/>
      <c r="I50" s="24"/>
      <c r="J50" s="18" t="str">
        <f aca="false">IF(B50="","",IF(G50="No",IF(I50="Yes","Impaired – interim control",IF(H50="Yes","IMPAIRED – NO INTERIM CONTROL","Impaired – repair")),IF(F50="","Not scheduled",IF(F50&lt;Dashboard!$C$5,"Service overdue",IF(F50-Dashboard!$C$5&lt;=Lists!$R$5,"Due soon","In service")))))</f>
        <v/>
      </c>
      <c r="K50" s="10"/>
      <c r="L50" s="10"/>
    </row>
    <row r="51" customFormat="false" ht="15" hidden="false" customHeight="false" outlineLevel="0" collapsed="false">
      <c r="A51" s="10"/>
      <c r="B51" s="10"/>
      <c r="C51" s="10"/>
      <c r="D51" s="11"/>
      <c r="E51" s="27"/>
      <c r="F51" s="28" t="str">
        <f aca="false">IF(OR(D51="",E51=""),"",D51+E51)</f>
        <v/>
      </c>
      <c r="G51" s="24"/>
      <c r="H51" s="24"/>
      <c r="I51" s="24"/>
      <c r="J51" s="18" t="str">
        <f aca="false">IF(B51="","",IF(G51="No",IF(I51="Yes","Impaired – interim control",IF(H51="Yes","IMPAIRED – NO INTERIM CONTROL","Impaired – repair")),IF(F51="","Not scheduled",IF(F51&lt;Dashboard!$C$5,"Service overdue",IF(F51-Dashboard!$C$5&lt;=Lists!$R$5,"Due soon","In service")))))</f>
        <v/>
      </c>
      <c r="K51" s="10"/>
      <c r="L51" s="10"/>
    </row>
    <row r="52" customFormat="false" ht="15" hidden="false" customHeight="false" outlineLevel="0" collapsed="false">
      <c r="A52" s="10"/>
      <c r="B52" s="10"/>
      <c r="C52" s="10"/>
      <c r="D52" s="11"/>
      <c r="E52" s="27"/>
      <c r="F52" s="28" t="str">
        <f aca="false">IF(OR(D52="",E52=""),"",D52+E52)</f>
        <v/>
      </c>
      <c r="G52" s="24"/>
      <c r="H52" s="24"/>
      <c r="I52" s="24"/>
      <c r="J52" s="18" t="str">
        <f aca="false">IF(B52="","",IF(G52="No",IF(I52="Yes","Impaired – interim control",IF(H52="Yes","IMPAIRED – NO INTERIM CONTROL","Impaired – repair")),IF(F52="","Not scheduled",IF(F52&lt;Dashboard!$C$5,"Service overdue",IF(F52-Dashboard!$C$5&lt;=Lists!$R$5,"Due soon","In service")))))</f>
        <v/>
      </c>
      <c r="K52" s="10"/>
      <c r="L52" s="10"/>
    </row>
    <row r="53" customFormat="false" ht="15" hidden="false" customHeight="false" outlineLevel="0" collapsed="false">
      <c r="A53" s="10"/>
      <c r="B53" s="10"/>
      <c r="C53" s="10"/>
      <c r="D53" s="11"/>
      <c r="E53" s="27"/>
      <c r="F53" s="28" t="str">
        <f aca="false">IF(OR(D53="",E53=""),"",D53+E53)</f>
        <v/>
      </c>
      <c r="G53" s="24"/>
      <c r="H53" s="24"/>
      <c r="I53" s="24"/>
      <c r="J53" s="18" t="str">
        <f aca="false">IF(B53="","",IF(G53="No",IF(I53="Yes","Impaired – interim control",IF(H53="Yes","IMPAIRED – NO INTERIM CONTROL","Impaired – repair")),IF(F53="","Not scheduled",IF(F53&lt;Dashboard!$C$5,"Service overdue",IF(F53-Dashboard!$C$5&lt;=Lists!$R$5,"Due soon","In service")))))</f>
        <v/>
      </c>
      <c r="K53" s="10"/>
      <c r="L53" s="10"/>
    </row>
    <row r="54" customFormat="false" ht="15" hidden="false" customHeight="false" outlineLevel="0" collapsed="false">
      <c r="A54" s="10"/>
      <c r="B54" s="10"/>
      <c r="C54" s="10"/>
      <c r="D54" s="11"/>
      <c r="E54" s="27"/>
      <c r="F54" s="28" t="str">
        <f aca="false">IF(OR(D54="",E54=""),"",D54+E54)</f>
        <v/>
      </c>
      <c r="G54" s="24"/>
      <c r="H54" s="24"/>
      <c r="I54" s="24"/>
      <c r="J54" s="18" t="str">
        <f aca="false">IF(B54="","",IF(G54="No",IF(I54="Yes","Impaired – interim control",IF(H54="Yes","IMPAIRED – NO INTERIM CONTROL","Impaired – repair")),IF(F54="","Not scheduled",IF(F54&lt;Dashboard!$C$5,"Service overdue",IF(F54-Dashboard!$C$5&lt;=Lists!$R$5,"Due soon","In service")))))</f>
        <v/>
      </c>
      <c r="K54" s="10"/>
      <c r="L54" s="10"/>
    </row>
    <row r="55" customFormat="false" ht="15" hidden="false" customHeight="false" outlineLevel="0" collapsed="false">
      <c r="A55" s="10"/>
      <c r="B55" s="10"/>
      <c r="C55" s="10"/>
      <c r="D55" s="11"/>
      <c r="E55" s="27"/>
      <c r="F55" s="28" t="str">
        <f aca="false">IF(OR(D55="",E55=""),"",D55+E55)</f>
        <v/>
      </c>
      <c r="G55" s="24"/>
      <c r="H55" s="24"/>
      <c r="I55" s="24"/>
      <c r="J55" s="18" t="str">
        <f aca="false">IF(B55="","",IF(G55="No",IF(I55="Yes","Impaired – interim control",IF(H55="Yes","IMPAIRED – NO INTERIM CONTROL","Impaired – repair")),IF(F55="","Not scheduled",IF(F55&lt;Dashboard!$C$5,"Service overdue",IF(F55-Dashboard!$C$5&lt;=Lists!$R$5,"Due soon","In service")))))</f>
        <v/>
      </c>
      <c r="K55" s="10"/>
      <c r="L55" s="10"/>
    </row>
    <row r="56" customFormat="false" ht="15" hidden="false" customHeight="false" outlineLevel="0" collapsed="false">
      <c r="A56" s="10"/>
      <c r="B56" s="10"/>
      <c r="C56" s="10"/>
      <c r="D56" s="11"/>
      <c r="E56" s="27"/>
      <c r="F56" s="28" t="str">
        <f aca="false">IF(OR(D56="",E56=""),"",D56+E56)</f>
        <v/>
      </c>
      <c r="G56" s="24"/>
      <c r="H56" s="24"/>
      <c r="I56" s="24"/>
      <c r="J56" s="18" t="str">
        <f aca="false">IF(B56="","",IF(G56="No",IF(I56="Yes","Impaired – interim control",IF(H56="Yes","IMPAIRED – NO INTERIM CONTROL","Impaired – repair")),IF(F56="","Not scheduled",IF(F56&lt;Dashboard!$C$5,"Service overdue",IF(F56-Dashboard!$C$5&lt;=Lists!$R$5,"Due soon","In service")))))</f>
        <v/>
      </c>
      <c r="K56" s="10"/>
      <c r="L56" s="10"/>
    </row>
    <row r="57" customFormat="false" ht="15" hidden="false" customHeight="false" outlineLevel="0" collapsed="false">
      <c r="A57" s="10"/>
      <c r="B57" s="10"/>
      <c r="C57" s="10"/>
      <c r="D57" s="11"/>
      <c r="E57" s="27"/>
      <c r="F57" s="28" t="str">
        <f aca="false">IF(OR(D57="",E57=""),"",D57+E57)</f>
        <v/>
      </c>
      <c r="G57" s="24"/>
      <c r="H57" s="24"/>
      <c r="I57" s="24"/>
      <c r="J57" s="18" t="str">
        <f aca="false">IF(B57="","",IF(G57="No",IF(I57="Yes","Impaired – interim control",IF(H57="Yes","IMPAIRED – NO INTERIM CONTROL","Impaired – repair")),IF(F57="","Not scheduled",IF(F57&lt;Dashboard!$C$5,"Service overdue",IF(F57-Dashboard!$C$5&lt;=Lists!$R$5,"Due soon","In service")))))</f>
        <v/>
      </c>
      <c r="K57" s="10"/>
      <c r="L57" s="10"/>
    </row>
    <row r="58" customFormat="false" ht="15" hidden="false" customHeight="false" outlineLevel="0" collapsed="false">
      <c r="A58" s="10"/>
      <c r="B58" s="10"/>
      <c r="C58" s="10"/>
      <c r="D58" s="11"/>
      <c r="E58" s="27"/>
      <c r="F58" s="28" t="str">
        <f aca="false">IF(OR(D58="",E58=""),"",D58+E58)</f>
        <v/>
      </c>
      <c r="G58" s="24"/>
      <c r="H58" s="24"/>
      <c r="I58" s="24"/>
      <c r="J58" s="18" t="str">
        <f aca="false">IF(B58="","",IF(G58="No",IF(I58="Yes","Impaired – interim control",IF(H58="Yes","IMPAIRED – NO INTERIM CONTROL","Impaired – repair")),IF(F58="","Not scheduled",IF(F58&lt;Dashboard!$C$5,"Service overdue",IF(F58-Dashboard!$C$5&lt;=Lists!$R$5,"Due soon","In service")))))</f>
        <v/>
      </c>
      <c r="K58" s="10"/>
      <c r="L58" s="10"/>
    </row>
    <row r="59" customFormat="false" ht="15" hidden="false" customHeight="false" outlineLevel="0" collapsed="false">
      <c r="A59" s="10"/>
      <c r="B59" s="10"/>
      <c r="C59" s="10"/>
      <c r="D59" s="11"/>
      <c r="E59" s="27"/>
      <c r="F59" s="28" t="str">
        <f aca="false">IF(OR(D59="",E59=""),"",D59+E59)</f>
        <v/>
      </c>
      <c r="G59" s="24"/>
      <c r="H59" s="24"/>
      <c r="I59" s="24"/>
      <c r="J59" s="18" t="str">
        <f aca="false">IF(B59="","",IF(G59="No",IF(I59="Yes","Impaired – interim control",IF(H59="Yes","IMPAIRED – NO INTERIM CONTROL","Impaired – repair")),IF(F59="","Not scheduled",IF(F59&lt;Dashboard!$C$5,"Service overdue",IF(F59-Dashboard!$C$5&lt;=Lists!$R$5,"Due soon","In service")))))</f>
        <v/>
      </c>
      <c r="K59" s="10"/>
      <c r="L59" s="10"/>
    </row>
    <row r="60" customFormat="false" ht="15" hidden="false" customHeight="false" outlineLevel="0" collapsed="false">
      <c r="A60" s="10"/>
      <c r="B60" s="10"/>
      <c r="C60" s="10"/>
      <c r="D60" s="11"/>
      <c r="E60" s="27"/>
      <c r="F60" s="28" t="str">
        <f aca="false">IF(OR(D60="",E60=""),"",D60+E60)</f>
        <v/>
      </c>
      <c r="G60" s="24"/>
      <c r="H60" s="24"/>
      <c r="I60" s="24"/>
      <c r="J60" s="18" t="str">
        <f aca="false">IF(B60="","",IF(G60="No",IF(I60="Yes","Impaired – interim control",IF(H60="Yes","IMPAIRED – NO INTERIM CONTROL","Impaired – repair")),IF(F60="","Not scheduled",IF(F60&lt;Dashboard!$C$5,"Service overdue",IF(F60-Dashboard!$C$5&lt;=Lists!$R$5,"Due soon","In service")))))</f>
        <v/>
      </c>
      <c r="K60" s="10"/>
      <c r="L60" s="10"/>
    </row>
    <row r="61" customFormat="false" ht="15" hidden="false" customHeight="false" outlineLevel="0" collapsed="false">
      <c r="A61" s="10"/>
      <c r="B61" s="10"/>
      <c r="C61" s="10"/>
      <c r="D61" s="11"/>
      <c r="E61" s="27"/>
      <c r="F61" s="28" t="str">
        <f aca="false">IF(OR(D61="",E61=""),"",D61+E61)</f>
        <v/>
      </c>
      <c r="G61" s="24"/>
      <c r="H61" s="24"/>
      <c r="I61" s="24"/>
      <c r="J61" s="18" t="str">
        <f aca="false">IF(B61="","",IF(G61="No",IF(I61="Yes","Impaired – interim control",IF(H61="Yes","IMPAIRED – NO INTERIM CONTROL","Impaired – repair")),IF(F61="","Not scheduled",IF(F61&lt;Dashboard!$C$5,"Service overdue",IF(F61-Dashboard!$C$5&lt;=Lists!$R$5,"Due soon","In service")))))</f>
        <v/>
      </c>
      <c r="K61" s="10"/>
      <c r="L61" s="10"/>
    </row>
    <row r="62" customFormat="false" ht="15" hidden="false" customHeight="false" outlineLevel="0" collapsed="false">
      <c r="A62" s="10"/>
      <c r="B62" s="10"/>
      <c r="C62" s="10"/>
      <c r="D62" s="11"/>
      <c r="E62" s="27"/>
      <c r="F62" s="28" t="str">
        <f aca="false">IF(OR(D62="",E62=""),"",D62+E62)</f>
        <v/>
      </c>
      <c r="G62" s="24"/>
      <c r="H62" s="24"/>
      <c r="I62" s="24"/>
      <c r="J62" s="18" t="str">
        <f aca="false">IF(B62="","",IF(G62="No",IF(I62="Yes","Impaired – interim control",IF(H62="Yes","IMPAIRED – NO INTERIM CONTROL","Impaired – repair")),IF(F62="","Not scheduled",IF(F62&lt;Dashboard!$C$5,"Service overdue",IF(F62-Dashboard!$C$5&lt;=Lists!$R$5,"Due soon","In service")))))</f>
        <v/>
      </c>
      <c r="K62" s="10"/>
      <c r="L62" s="10"/>
    </row>
    <row r="63" customFormat="false" ht="15" hidden="false" customHeight="false" outlineLevel="0" collapsed="false">
      <c r="A63" s="10"/>
      <c r="B63" s="10"/>
      <c r="C63" s="10"/>
      <c r="D63" s="11"/>
      <c r="E63" s="27"/>
      <c r="F63" s="28" t="str">
        <f aca="false">IF(OR(D63="",E63=""),"",D63+E63)</f>
        <v/>
      </c>
      <c r="G63" s="24"/>
      <c r="H63" s="24"/>
      <c r="I63" s="24"/>
      <c r="J63" s="18" t="str">
        <f aca="false">IF(B63="","",IF(G63="No",IF(I63="Yes","Impaired – interim control",IF(H63="Yes","IMPAIRED – NO INTERIM CONTROL","Impaired – repair")),IF(F63="","Not scheduled",IF(F63&lt;Dashboard!$C$5,"Service overdue",IF(F63-Dashboard!$C$5&lt;=Lists!$R$5,"Due soon","In service")))))</f>
        <v/>
      </c>
      <c r="K63" s="10"/>
      <c r="L63" s="10"/>
    </row>
    <row r="64" customFormat="false" ht="15" hidden="false" customHeight="false" outlineLevel="0" collapsed="false">
      <c r="A64" s="10"/>
      <c r="B64" s="10"/>
      <c r="C64" s="10"/>
      <c r="D64" s="11"/>
      <c r="E64" s="27"/>
      <c r="F64" s="28" t="str">
        <f aca="false">IF(OR(D64="",E64=""),"",D64+E64)</f>
        <v/>
      </c>
      <c r="G64" s="24"/>
      <c r="H64" s="24"/>
      <c r="I64" s="24"/>
      <c r="J64" s="18" t="str">
        <f aca="false">IF(B64="","",IF(G64="No",IF(I64="Yes","Impaired – interim control",IF(H64="Yes","IMPAIRED – NO INTERIM CONTROL","Impaired – repair")),IF(F64="","Not scheduled",IF(F64&lt;Dashboard!$C$5,"Service overdue",IF(F64-Dashboard!$C$5&lt;=Lists!$R$5,"Due soon","In service")))))</f>
        <v/>
      </c>
      <c r="K64" s="10"/>
      <c r="L64" s="10"/>
    </row>
    <row r="65" customFormat="false" ht="15" hidden="false" customHeight="false" outlineLevel="0" collapsed="false">
      <c r="A65" s="10"/>
      <c r="B65" s="10"/>
      <c r="C65" s="10"/>
      <c r="D65" s="11"/>
      <c r="E65" s="27"/>
      <c r="F65" s="28" t="str">
        <f aca="false">IF(OR(D65="",E65=""),"",D65+E65)</f>
        <v/>
      </c>
      <c r="G65" s="24"/>
      <c r="H65" s="24"/>
      <c r="I65" s="24"/>
      <c r="J65" s="18" t="str">
        <f aca="false">IF(B65="","",IF(G65="No",IF(I65="Yes","Impaired – interim control",IF(H65="Yes","IMPAIRED – NO INTERIM CONTROL","Impaired – repair")),IF(F65="","Not scheduled",IF(F65&lt;Dashboard!$C$5,"Service overdue",IF(F65-Dashboard!$C$5&lt;=Lists!$R$5,"Due soon","In service")))))</f>
        <v/>
      </c>
      <c r="K65" s="10"/>
      <c r="L65" s="10"/>
    </row>
    <row r="66" customFormat="false" ht="15" hidden="false" customHeight="false" outlineLevel="0" collapsed="false">
      <c r="A66" s="10"/>
      <c r="B66" s="10"/>
      <c r="C66" s="10"/>
      <c r="D66" s="11"/>
      <c r="E66" s="27"/>
      <c r="F66" s="28" t="str">
        <f aca="false">IF(OR(D66="",E66=""),"",D66+E66)</f>
        <v/>
      </c>
      <c r="G66" s="24"/>
      <c r="H66" s="24"/>
      <c r="I66" s="24"/>
      <c r="J66" s="18" t="str">
        <f aca="false">IF(B66="","",IF(G66="No",IF(I66="Yes","Impaired – interim control",IF(H66="Yes","IMPAIRED – NO INTERIM CONTROL","Impaired – repair")),IF(F66="","Not scheduled",IF(F66&lt;Dashboard!$C$5,"Service overdue",IF(F66-Dashboard!$C$5&lt;=Lists!$R$5,"Due soon","In service")))))</f>
        <v/>
      </c>
      <c r="K66" s="10"/>
      <c r="L66" s="10"/>
    </row>
    <row r="67" customFormat="false" ht="15" hidden="false" customHeight="false" outlineLevel="0" collapsed="false">
      <c r="A67" s="10"/>
      <c r="B67" s="10"/>
      <c r="C67" s="10"/>
      <c r="D67" s="11"/>
      <c r="E67" s="27"/>
      <c r="F67" s="28" t="str">
        <f aca="false">IF(OR(D67="",E67=""),"",D67+E67)</f>
        <v/>
      </c>
      <c r="G67" s="24"/>
      <c r="H67" s="24"/>
      <c r="I67" s="24"/>
      <c r="J67" s="18" t="str">
        <f aca="false">IF(B67="","",IF(G67="No",IF(I67="Yes","Impaired – interim control",IF(H67="Yes","IMPAIRED – NO INTERIM CONTROL","Impaired – repair")),IF(F67="","Not scheduled",IF(F67&lt;Dashboard!$C$5,"Service overdue",IF(F67-Dashboard!$C$5&lt;=Lists!$R$5,"Due soon","In service")))))</f>
        <v/>
      </c>
      <c r="K67" s="10"/>
      <c r="L67" s="10"/>
    </row>
    <row r="68" customFormat="false" ht="15" hidden="false" customHeight="false" outlineLevel="0" collapsed="false">
      <c r="A68" s="10"/>
      <c r="B68" s="10"/>
      <c r="C68" s="10"/>
      <c r="D68" s="11"/>
      <c r="E68" s="27"/>
      <c r="F68" s="28" t="str">
        <f aca="false">IF(OR(D68="",E68=""),"",D68+E68)</f>
        <v/>
      </c>
      <c r="G68" s="24"/>
      <c r="H68" s="24"/>
      <c r="I68" s="24"/>
      <c r="J68" s="18" t="str">
        <f aca="false">IF(B68="","",IF(G68="No",IF(I68="Yes","Impaired – interim control",IF(H68="Yes","IMPAIRED – NO INTERIM CONTROL","Impaired – repair")),IF(F68="","Not scheduled",IF(F68&lt;Dashboard!$C$5,"Service overdue",IF(F68-Dashboard!$C$5&lt;=Lists!$R$5,"Due soon","In service")))))</f>
        <v/>
      </c>
      <c r="K68" s="10"/>
      <c r="L68" s="10"/>
    </row>
    <row r="69" customFormat="false" ht="15" hidden="false" customHeight="false" outlineLevel="0" collapsed="false">
      <c r="A69" s="10"/>
      <c r="B69" s="10"/>
      <c r="C69" s="10"/>
      <c r="D69" s="11"/>
      <c r="E69" s="27"/>
      <c r="F69" s="28" t="str">
        <f aca="false">IF(OR(D69="",E69=""),"",D69+E69)</f>
        <v/>
      </c>
      <c r="G69" s="24"/>
      <c r="H69" s="24"/>
      <c r="I69" s="24"/>
      <c r="J69" s="18" t="str">
        <f aca="false">IF(B69="","",IF(G69="No",IF(I69="Yes","Impaired – interim control",IF(H69="Yes","IMPAIRED – NO INTERIM CONTROL","Impaired – repair")),IF(F69="","Not scheduled",IF(F69&lt;Dashboard!$C$5,"Service overdue",IF(F69-Dashboard!$C$5&lt;=Lists!$R$5,"Due soon","In service")))))</f>
        <v/>
      </c>
      <c r="K69" s="10"/>
      <c r="L69" s="10"/>
    </row>
    <row r="70" customFormat="false" ht="15" hidden="false" customHeight="false" outlineLevel="0" collapsed="false">
      <c r="A70" s="10"/>
      <c r="B70" s="10"/>
      <c r="C70" s="10"/>
      <c r="D70" s="11"/>
      <c r="E70" s="27"/>
      <c r="F70" s="28" t="str">
        <f aca="false">IF(OR(D70="",E70=""),"",D70+E70)</f>
        <v/>
      </c>
      <c r="G70" s="24"/>
      <c r="H70" s="24"/>
      <c r="I70" s="24"/>
      <c r="J70" s="18" t="str">
        <f aca="false">IF(B70="","",IF(G70="No",IF(I70="Yes","Impaired – interim control",IF(H70="Yes","IMPAIRED – NO INTERIM CONTROL","Impaired – repair")),IF(F70="","Not scheduled",IF(F70&lt;Dashboard!$C$5,"Service overdue",IF(F70-Dashboard!$C$5&lt;=Lists!$R$5,"Due soon","In service")))))</f>
        <v/>
      </c>
      <c r="K70" s="10"/>
      <c r="L70" s="10"/>
    </row>
    <row r="71" customFormat="false" ht="15" hidden="false" customHeight="false" outlineLevel="0" collapsed="false">
      <c r="A71" s="10"/>
      <c r="B71" s="10"/>
      <c r="C71" s="10"/>
      <c r="D71" s="11"/>
      <c r="E71" s="27"/>
      <c r="F71" s="28" t="str">
        <f aca="false">IF(OR(D71="",E71=""),"",D71+E71)</f>
        <v/>
      </c>
      <c r="G71" s="24"/>
      <c r="H71" s="24"/>
      <c r="I71" s="24"/>
      <c r="J71" s="18" t="str">
        <f aca="false">IF(B71="","",IF(G71="No",IF(I71="Yes","Impaired – interim control",IF(H71="Yes","IMPAIRED – NO INTERIM CONTROL","Impaired – repair")),IF(F71="","Not scheduled",IF(F71&lt;Dashboard!$C$5,"Service overdue",IF(F71-Dashboard!$C$5&lt;=Lists!$R$5,"Due soon","In service")))))</f>
        <v/>
      </c>
      <c r="K71" s="10"/>
      <c r="L71" s="10"/>
    </row>
    <row r="72" customFormat="false" ht="15" hidden="false" customHeight="false" outlineLevel="0" collapsed="false">
      <c r="A72" s="10"/>
      <c r="B72" s="10"/>
      <c r="C72" s="10"/>
      <c r="D72" s="11"/>
      <c r="E72" s="27"/>
      <c r="F72" s="28" t="str">
        <f aca="false">IF(OR(D72="",E72=""),"",D72+E72)</f>
        <v/>
      </c>
      <c r="G72" s="24"/>
      <c r="H72" s="24"/>
      <c r="I72" s="24"/>
      <c r="J72" s="18" t="str">
        <f aca="false">IF(B72="","",IF(G72="No",IF(I72="Yes","Impaired – interim control",IF(H72="Yes","IMPAIRED – NO INTERIM CONTROL","Impaired – repair")),IF(F72="","Not scheduled",IF(F72&lt;Dashboard!$C$5,"Service overdue",IF(F72-Dashboard!$C$5&lt;=Lists!$R$5,"Due soon","In service")))))</f>
        <v/>
      </c>
      <c r="K72" s="10"/>
      <c r="L72" s="10"/>
    </row>
    <row r="73" customFormat="false" ht="15" hidden="false" customHeight="false" outlineLevel="0" collapsed="false">
      <c r="A73" s="10"/>
      <c r="B73" s="10"/>
      <c r="C73" s="10"/>
      <c r="D73" s="11"/>
      <c r="E73" s="27"/>
      <c r="F73" s="28" t="str">
        <f aca="false">IF(OR(D73="",E73=""),"",D73+E73)</f>
        <v/>
      </c>
      <c r="G73" s="24"/>
      <c r="H73" s="24"/>
      <c r="I73" s="24"/>
      <c r="J73" s="18" t="str">
        <f aca="false">IF(B73="","",IF(G73="No",IF(I73="Yes","Impaired – interim control",IF(H73="Yes","IMPAIRED – NO INTERIM CONTROL","Impaired – repair")),IF(F73="","Not scheduled",IF(F73&lt;Dashboard!$C$5,"Service overdue",IF(F73-Dashboard!$C$5&lt;=Lists!$R$5,"Due soon","In service")))))</f>
        <v/>
      </c>
      <c r="K73" s="10"/>
      <c r="L73" s="10"/>
    </row>
    <row r="74" customFormat="false" ht="15" hidden="false" customHeight="false" outlineLevel="0" collapsed="false">
      <c r="A74" s="10"/>
      <c r="B74" s="10"/>
      <c r="C74" s="10"/>
      <c r="D74" s="11"/>
      <c r="E74" s="27"/>
      <c r="F74" s="28" t="str">
        <f aca="false">IF(OR(D74="",E74=""),"",D74+E74)</f>
        <v/>
      </c>
      <c r="G74" s="24"/>
      <c r="H74" s="24"/>
      <c r="I74" s="24"/>
      <c r="J74" s="18" t="str">
        <f aca="false">IF(B74="","",IF(G74="No",IF(I74="Yes","Impaired – interim control",IF(H74="Yes","IMPAIRED – NO INTERIM CONTROL","Impaired – repair")),IF(F74="","Not scheduled",IF(F74&lt;Dashboard!$C$5,"Service overdue",IF(F74-Dashboard!$C$5&lt;=Lists!$R$5,"Due soon","In service")))))</f>
        <v/>
      </c>
      <c r="K74" s="10"/>
      <c r="L74" s="10"/>
    </row>
    <row r="75" customFormat="false" ht="15" hidden="false" customHeight="false" outlineLevel="0" collapsed="false">
      <c r="A75" s="10"/>
      <c r="B75" s="10"/>
      <c r="C75" s="10"/>
      <c r="D75" s="11"/>
      <c r="E75" s="27"/>
      <c r="F75" s="28" t="str">
        <f aca="false">IF(OR(D75="",E75=""),"",D75+E75)</f>
        <v/>
      </c>
      <c r="G75" s="24"/>
      <c r="H75" s="24"/>
      <c r="I75" s="24"/>
      <c r="J75" s="18" t="str">
        <f aca="false">IF(B75="","",IF(G75="No",IF(I75="Yes","Impaired – interim control",IF(H75="Yes","IMPAIRED – NO INTERIM CONTROL","Impaired – repair")),IF(F75="","Not scheduled",IF(F75&lt;Dashboard!$C$5,"Service overdue",IF(F75-Dashboard!$C$5&lt;=Lists!$R$5,"Due soon","In service")))))</f>
        <v/>
      </c>
      <c r="K75" s="10"/>
      <c r="L75" s="10"/>
    </row>
    <row r="76" customFormat="false" ht="15" hidden="false" customHeight="false" outlineLevel="0" collapsed="false">
      <c r="A76" s="10"/>
      <c r="B76" s="10"/>
      <c r="C76" s="10"/>
      <c r="D76" s="11"/>
      <c r="E76" s="27"/>
      <c r="F76" s="28" t="str">
        <f aca="false">IF(OR(D76="",E76=""),"",D76+E76)</f>
        <v/>
      </c>
      <c r="G76" s="24"/>
      <c r="H76" s="24"/>
      <c r="I76" s="24"/>
      <c r="J76" s="18" t="str">
        <f aca="false">IF(B76="","",IF(G76="No",IF(I76="Yes","Impaired – interim control",IF(H76="Yes","IMPAIRED – NO INTERIM CONTROL","Impaired – repair")),IF(F76="","Not scheduled",IF(F76&lt;Dashboard!$C$5,"Service overdue",IF(F76-Dashboard!$C$5&lt;=Lists!$R$5,"Due soon","In service")))))</f>
        <v/>
      </c>
      <c r="K76" s="10"/>
      <c r="L76" s="10"/>
    </row>
    <row r="77" customFormat="false" ht="15" hidden="false" customHeight="false" outlineLevel="0" collapsed="false">
      <c r="A77" s="10"/>
      <c r="B77" s="10"/>
      <c r="C77" s="10"/>
      <c r="D77" s="11"/>
      <c r="E77" s="27"/>
      <c r="F77" s="28" t="str">
        <f aca="false">IF(OR(D77="",E77=""),"",D77+E77)</f>
        <v/>
      </c>
      <c r="G77" s="24"/>
      <c r="H77" s="24"/>
      <c r="I77" s="24"/>
      <c r="J77" s="18" t="str">
        <f aca="false">IF(B77="","",IF(G77="No",IF(I77="Yes","Impaired – interim control",IF(H77="Yes","IMPAIRED – NO INTERIM CONTROL","Impaired – repair")),IF(F77="","Not scheduled",IF(F77&lt;Dashboard!$C$5,"Service overdue",IF(F77-Dashboard!$C$5&lt;=Lists!$R$5,"Due soon","In service")))))</f>
        <v/>
      </c>
      <c r="K77" s="10"/>
      <c r="L77" s="10"/>
    </row>
    <row r="78" customFormat="false" ht="15" hidden="false" customHeight="false" outlineLevel="0" collapsed="false">
      <c r="A78" s="10"/>
      <c r="B78" s="10"/>
      <c r="C78" s="10"/>
      <c r="D78" s="11"/>
      <c r="E78" s="27"/>
      <c r="F78" s="28" t="str">
        <f aca="false">IF(OR(D78="",E78=""),"",D78+E78)</f>
        <v/>
      </c>
      <c r="G78" s="24"/>
      <c r="H78" s="24"/>
      <c r="I78" s="24"/>
      <c r="J78" s="18" t="str">
        <f aca="false">IF(B78="","",IF(G78="No",IF(I78="Yes","Impaired – interim control",IF(H78="Yes","IMPAIRED – NO INTERIM CONTROL","Impaired – repair")),IF(F78="","Not scheduled",IF(F78&lt;Dashboard!$C$5,"Service overdue",IF(F78-Dashboard!$C$5&lt;=Lists!$R$5,"Due soon","In service")))))</f>
        <v/>
      </c>
      <c r="K78" s="10"/>
      <c r="L78" s="10"/>
    </row>
    <row r="79" customFormat="false" ht="15" hidden="false" customHeight="false" outlineLevel="0" collapsed="false">
      <c r="A79" s="10"/>
      <c r="B79" s="10"/>
      <c r="C79" s="10"/>
      <c r="D79" s="11"/>
      <c r="E79" s="27"/>
      <c r="F79" s="28" t="str">
        <f aca="false">IF(OR(D79="",E79=""),"",D79+E79)</f>
        <v/>
      </c>
      <c r="G79" s="24"/>
      <c r="H79" s="24"/>
      <c r="I79" s="24"/>
      <c r="J79" s="18" t="str">
        <f aca="false">IF(B79="","",IF(G79="No",IF(I79="Yes","Impaired – interim control",IF(H79="Yes","IMPAIRED – NO INTERIM CONTROL","Impaired – repair")),IF(F79="","Not scheduled",IF(F79&lt;Dashboard!$C$5,"Service overdue",IF(F79-Dashboard!$C$5&lt;=Lists!$R$5,"Due soon","In service")))))</f>
        <v/>
      </c>
      <c r="K79" s="10"/>
      <c r="L79" s="10"/>
    </row>
    <row r="80" customFormat="false" ht="15" hidden="false" customHeight="false" outlineLevel="0" collapsed="false">
      <c r="A80" s="10"/>
      <c r="B80" s="10"/>
      <c r="C80" s="10"/>
      <c r="D80" s="11"/>
      <c r="E80" s="27"/>
      <c r="F80" s="28" t="str">
        <f aca="false">IF(OR(D80="",E80=""),"",D80+E80)</f>
        <v/>
      </c>
      <c r="G80" s="24"/>
      <c r="H80" s="24"/>
      <c r="I80" s="24"/>
      <c r="J80" s="18" t="str">
        <f aca="false">IF(B80="","",IF(G80="No",IF(I80="Yes","Impaired – interim control",IF(H80="Yes","IMPAIRED – NO INTERIM CONTROL","Impaired – repair")),IF(F80="","Not scheduled",IF(F80&lt;Dashboard!$C$5,"Service overdue",IF(F80-Dashboard!$C$5&lt;=Lists!$R$5,"Due soon","In service")))))</f>
        <v/>
      </c>
      <c r="K80" s="10"/>
      <c r="L80" s="10"/>
    </row>
    <row r="81" customFormat="false" ht="15" hidden="false" customHeight="false" outlineLevel="0" collapsed="false">
      <c r="A81" s="10"/>
      <c r="B81" s="10"/>
      <c r="C81" s="10"/>
      <c r="D81" s="11"/>
      <c r="E81" s="27"/>
      <c r="F81" s="28" t="str">
        <f aca="false">IF(OR(D81="",E81=""),"",D81+E81)</f>
        <v/>
      </c>
      <c r="G81" s="24"/>
      <c r="H81" s="24"/>
      <c r="I81" s="24"/>
      <c r="J81" s="18" t="str">
        <f aca="false">IF(B81="","",IF(G81="No",IF(I81="Yes","Impaired – interim control",IF(H81="Yes","IMPAIRED – NO INTERIM CONTROL","Impaired – repair")),IF(F81="","Not scheduled",IF(F81&lt;Dashboard!$C$5,"Service overdue",IF(F81-Dashboard!$C$5&lt;=Lists!$R$5,"Due soon","In service")))))</f>
        <v/>
      </c>
      <c r="K81" s="10"/>
      <c r="L81" s="10"/>
    </row>
    <row r="82" customFormat="false" ht="15" hidden="false" customHeight="false" outlineLevel="0" collapsed="false">
      <c r="A82" s="10"/>
      <c r="B82" s="10"/>
      <c r="C82" s="10"/>
      <c r="D82" s="11"/>
      <c r="E82" s="27"/>
      <c r="F82" s="28" t="str">
        <f aca="false">IF(OR(D82="",E82=""),"",D82+E82)</f>
        <v/>
      </c>
      <c r="G82" s="24"/>
      <c r="H82" s="24"/>
      <c r="I82" s="24"/>
      <c r="J82" s="18" t="str">
        <f aca="false">IF(B82="","",IF(G82="No",IF(I82="Yes","Impaired – interim control",IF(H82="Yes","IMPAIRED – NO INTERIM CONTROL","Impaired – repair")),IF(F82="","Not scheduled",IF(F82&lt;Dashboard!$C$5,"Service overdue",IF(F82-Dashboard!$C$5&lt;=Lists!$R$5,"Due soon","In service")))))</f>
        <v/>
      </c>
      <c r="K82" s="10"/>
      <c r="L82" s="10"/>
    </row>
    <row r="83" customFormat="false" ht="15" hidden="false" customHeight="false" outlineLevel="0" collapsed="false">
      <c r="A83" s="10"/>
      <c r="B83" s="10"/>
      <c r="C83" s="10"/>
      <c r="D83" s="11"/>
      <c r="E83" s="27"/>
      <c r="F83" s="28" t="str">
        <f aca="false">IF(OR(D83="",E83=""),"",D83+E83)</f>
        <v/>
      </c>
      <c r="G83" s="24"/>
      <c r="H83" s="24"/>
      <c r="I83" s="24"/>
      <c r="J83" s="18" t="str">
        <f aca="false">IF(B83="","",IF(G83="No",IF(I83="Yes","Impaired – interim control",IF(H83="Yes","IMPAIRED – NO INTERIM CONTROL","Impaired – repair")),IF(F83="","Not scheduled",IF(F83&lt;Dashboard!$C$5,"Service overdue",IF(F83-Dashboard!$C$5&lt;=Lists!$R$5,"Due soon","In service")))))</f>
        <v/>
      </c>
      <c r="K83" s="10"/>
      <c r="L83" s="10"/>
    </row>
    <row r="84" customFormat="false" ht="15" hidden="false" customHeight="false" outlineLevel="0" collapsed="false">
      <c r="A84" s="10"/>
      <c r="B84" s="10"/>
      <c r="C84" s="10"/>
      <c r="D84" s="11"/>
      <c r="E84" s="27"/>
      <c r="F84" s="28" t="str">
        <f aca="false">IF(OR(D84="",E84=""),"",D84+E84)</f>
        <v/>
      </c>
      <c r="G84" s="24"/>
      <c r="H84" s="24"/>
      <c r="I84" s="24"/>
      <c r="J84" s="18" t="str">
        <f aca="false">IF(B84="","",IF(G84="No",IF(I84="Yes","Impaired – interim control",IF(H84="Yes","IMPAIRED – NO INTERIM CONTROL","Impaired – repair")),IF(F84="","Not scheduled",IF(F84&lt;Dashboard!$C$5,"Service overdue",IF(F84-Dashboard!$C$5&lt;=Lists!$R$5,"Due soon","In service")))))</f>
        <v/>
      </c>
      <c r="K84" s="10"/>
      <c r="L84" s="10"/>
    </row>
    <row r="85" customFormat="false" ht="15" hidden="false" customHeight="false" outlineLevel="0" collapsed="false">
      <c r="A85" s="10"/>
      <c r="B85" s="10"/>
      <c r="C85" s="10"/>
      <c r="D85" s="11"/>
      <c r="E85" s="27"/>
      <c r="F85" s="28" t="str">
        <f aca="false">IF(OR(D85="",E85=""),"",D85+E85)</f>
        <v/>
      </c>
      <c r="G85" s="24"/>
      <c r="H85" s="24"/>
      <c r="I85" s="24"/>
      <c r="J85" s="18" t="str">
        <f aca="false">IF(B85="","",IF(G85="No",IF(I85="Yes","Impaired – interim control",IF(H85="Yes","IMPAIRED – NO INTERIM CONTROL","Impaired – repair")),IF(F85="","Not scheduled",IF(F85&lt;Dashboard!$C$5,"Service overdue",IF(F85-Dashboard!$C$5&lt;=Lists!$R$5,"Due soon","In service")))))</f>
        <v/>
      </c>
      <c r="K85" s="10"/>
      <c r="L85" s="10"/>
    </row>
    <row r="86" customFormat="false" ht="15" hidden="false" customHeight="false" outlineLevel="0" collapsed="false">
      <c r="A86" s="10"/>
      <c r="B86" s="10"/>
      <c r="C86" s="10"/>
      <c r="D86" s="11"/>
      <c r="E86" s="27"/>
      <c r="F86" s="28" t="str">
        <f aca="false">IF(OR(D86="",E86=""),"",D86+E86)</f>
        <v/>
      </c>
      <c r="G86" s="24"/>
      <c r="H86" s="24"/>
      <c r="I86" s="24"/>
      <c r="J86" s="18" t="str">
        <f aca="false">IF(B86="","",IF(G86="No",IF(I86="Yes","Impaired – interim control",IF(H86="Yes","IMPAIRED – NO INTERIM CONTROL","Impaired – repair")),IF(F86="","Not scheduled",IF(F86&lt;Dashboard!$C$5,"Service overdue",IF(F86-Dashboard!$C$5&lt;=Lists!$R$5,"Due soon","In service")))))</f>
        <v/>
      </c>
      <c r="K86" s="10"/>
      <c r="L86" s="10"/>
    </row>
    <row r="87" customFormat="false" ht="15" hidden="false" customHeight="false" outlineLevel="0" collapsed="false">
      <c r="A87" s="10"/>
      <c r="B87" s="10"/>
      <c r="C87" s="10"/>
      <c r="D87" s="11"/>
      <c r="E87" s="27"/>
      <c r="F87" s="28" t="str">
        <f aca="false">IF(OR(D87="",E87=""),"",D87+E87)</f>
        <v/>
      </c>
      <c r="G87" s="24"/>
      <c r="H87" s="24"/>
      <c r="I87" s="24"/>
      <c r="J87" s="18" t="str">
        <f aca="false">IF(B87="","",IF(G87="No",IF(I87="Yes","Impaired – interim control",IF(H87="Yes","IMPAIRED – NO INTERIM CONTROL","Impaired – repair")),IF(F87="","Not scheduled",IF(F87&lt;Dashboard!$C$5,"Service overdue",IF(F87-Dashboard!$C$5&lt;=Lists!$R$5,"Due soon","In service")))))</f>
        <v/>
      </c>
      <c r="K87" s="10"/>
      <c r="L87" s="10"/>
    </row>
    <row r="88" customFormat="false" ht="15" hidden="false" customHeight="false" outlineLevel="0" collapsed="false">
      <c r="A88" s="10"/>
      <c r="B88" s="10"/>
      <c r="C88" s="10"/>
      <c r="D88" s="11"/>
      <c r="E88" s="27"/>
      <c r="F88" s="28" t="str">
        <f aca="false">IF(OR(D88="",E88=""),"",D88+E88)</f>
        <v/>
      </c>
      <c r="G88" s="24"/>
      <c r="H88" s="24"/>
      <c r="I88" s="24"/>
      <c r="J88" s="18" t="str">
        <f aca="false">IF(B88="","",IF(G88="No",IF(I88="Yes","Impaired – interim control",IF(H88="Yes","IMPAIRED – NO INTERIM CONTROL","Impaired – repair")),IF(F88="","Not scheduled",IF(F88&lt;Dashboard!$C$5,"Service overdue",IF(F88-Dashboard!$C$5&lt;=Lists!$R$5,"Due soon","In service")))))</f>
        <v/>
      </c>
      <c r="K88" s="10"/>
      <c r="L88" s="10"/>
    </row>
    <row r="89" customFormat="false" ht="15" hidden="false" customHeight="false" outlineLevel="0" collapsed="false">
      <c r="A89" s="10"/>
      <c r="B89" s="10"/>
      <c r="C89" s="10"/>
      <c r="D89" s="11"/>
      <c r="E89" s="27"/>
      <c r="F89" s="28" t="str">
        <f aca="false">IF(OR(D89="",E89=""),"",D89+E89)</f>
        <v/>
      </c>
      <c r="G89" s="24"/>
      <c r="H89" s="24"/>
      <c r="I89" s="24"/>
      <c r="J89" s="18" t="str">
        <f aca="false">IF(B89="","",IF(G89="No",IF(I89="Yes","Impaired – interim control",IF(H89="Yes","IMPAIRED – NO INTERIM CONTROL","Impaired – repair")),IF(F89="","Not scheduled",IF(F89&lt;Dashboard!$C$5,"Service overdue",IF(F89-Dashboard!$C$5&lt;=Lists!$R$5,"Due soon","In service")))))</f>
        <v/>
      </c>
      <c r="K89" s="10"/>
      <c r="L89" s="10"/>
    </row>
    <row r="90" customFormat="false" ht="15" hidden="false" customHeight="false" outlineLevel="0" collapsed="false">
      <c r="A90" s="10"/>
      <c r="B90" s="10"/>
      <c r="C90" s="10"/>
      <c r="D90" s="11"/>
      <c r="E90" s="27"/>
      <c r="F90" s="28" t="str">
        <f aca="false">IF(OR(D90="",E90=""),"",D90+E90)</f>
        <v/>
      </c>
      <c r="G90" s="24"/>
      <c r="H90" s="24"/>
      <c r="I90" s="24"/>
      <c r="J90" s="18" t="str">
        <f aca="false">IF(B90="","",IF(G90="No",IF(I90="Yes","Impaired – interim control",IF(H90="Yes","IMPAIRED – NO INTERIM CONTROL","Impaired – repair")),IF(F90="","Not scheduled",IF(F90&lt;Dashboard!$C$5,"Service overdue",IF(F90-Dashboard!$C$5&lt;=Lists!$R$5,"Due soon","In service")))))</f>
        <v/>
      </c>
      <c r="K90" s="10"/>
      <c r="L90" s="10"/>
    </row>
    <row r="91" customFormat="false" ht="15" hidden="false" customHeight="false" outlineLevel="0" collapsed="false">
      <c r="A91" s="10"/>
      <c r="B91" s="10"/>
      <c r="C91" s="10"/>
      <c r="D91" s="11"/>
      <c r="E91" s="27"/>
      <c r="F91" s="28" t="str">
        <f aca="false">IF(OR(D91="",E91=""),"",D91+E91)</f>
        <v/>
      </c>
      <c r="G91" s="24"/>
      <c r="H91" s="24"/>
      <c r="I91" s="24"/>
      <c r="J91" s="18" t="str">
        <f aca="false">IF(B91="","",IF(G91="No",IF(I91="Yes","Impaired – interim control",IF(H91="Yes","IMPAIRED – NO INTERIM CONTROL","Impaired – repair")),IF(F91="","Not scheduled",IF(F91&lt;Dashboard!$C$5,"Service overdue",IF(F91-Dashboard!$C$5&lt;=Lists!$R$5,"Due soon","In service")))))</f>
        <v/>
      </c>
      <c r="K91" s="10"/>
      <c r="L91" s="10"/>
    </row>
    <row r="92" customFormat="false" ht="15" hidden="false" customHeight="false" outlineLevel="0" collapsed="false">
      <c r="A92" s="10"/>
      <c r="B92" s="10"/>
      <c r="C92" s="10"/>
      <c r="D92" s="11"/>
      <c r="E92" s="27"/>
      <c r="F92" s="28" t="str">
        <f aca="false">IF(OR(D92="",E92=""),"",D92+E92)</f>
        <v/>
      </c>
      <c r="G92" s="24"/>
      <c r="H92" s="24"/>
      <c r="I92" s="24"/>
      <c r="J92" s="18" t="str">
        <f aca="false">IF(B92="","",IF(G92="No",IF(I92="Yes","Impaired – interim control",IF(H92="Yes","IMPAIRED – NO INTERIM CONTROL","Impaired – repair")),IF(F92="","Not scheduled",IF(F92&lt;Dashboard!$C$5,"Service overdue",IF(F92-Dashboard!$C$5&lt;=Lists!$R$5,"Due soon","In service")))))</f>
        <v/>
      </c>
      <c r="K92" s="10"/>
      <c r="L92" s="10"/>
    </row>
    <row r="93" customFormat="false" ht="15" hidden="false" customHeight="false" outlineLevel="0" collapsed="false">
      <c r="A93" s="10"/>
      <c r="B93" s="10"/>
      <c r="C93" s="10"/>
      <c r="D93" s="11"/>
      <c r="E93" s="27"/>
      <c r="F93" s="28" t="str">
        <f aca="false">IF(OR(D93="",E93=""),"",D93+E93)</f>
        <v/>
      </c>
      <c r="G93" s="24"/>
      <c r="H93" s="24"/>
      <c r="I93" s="24"/>
      <c r="J93" s="18" t="str">
        <f aca="false">IF(B93="","",IF(G93="No",IF(I93="Yes","Impaired – interim control",IF(H93="Yes","IMPAIRED – NO INTERIM CONTROL","Impaired – repair")),IF(F93="","Not scheduled",IF(F93&lt;Dashboard!$C$5,"Service overdue",IF(F93-Dashboard!$C$5&lt;=Lists!$R$5,"Due soon","In service")))))</f>
        <v/>
      </c>
      <c r="K93" s="10"/>
      <c r="L93" s="10"/>
    </row>
    <row r="94" customFormat="false" ht="15" hidden="false" customHeight="false" outlineLevel="0" collapsed="false">
      <c r="A94" s="10"/>
      <c r="B94" s="10"/>
      <c r="C94" s="10"/>
      <c r="D94" s="11"/>
      <c r="E94" s="27"/>
      <c r="F94" s="28" t="str">
        <f aca="false">IF(OR(D94="",E94=""),"",D94+E94)</f>
        <v/>
      </c>
      <c r="G94" s="24"/>
      <c r="H94" s="24"/>
      <c r="I94" s="24"/>
      <c r="J94" s="18" t="str">
        <f aca="false">IF(B94="","",IF(G94="No",IF(I94="Yes","Impaired – interim control",IF(H94="Yes","IMPAIRED – NO INTERIM CONTROL","Impaired – repair")),IF(F94="","Not scheduled",IF(F94&lt;Dashboard!$C$5,"Service overdue",IF(F94-Dashboard!$C$5&lt;=Lists!$R$5,"Due soon","In service")))))</f>
        <v/>
      </c>
      <c r="K94" s="10"/>
      <c r="L94" s="10"/>
    </row>
    <row r="95" customFormat="false" ht="15" hidden="false" customHeight="false" outlineLevel="0" collapsed="false">
      <c r="A95" s="10"/>
      <c r="B95" s="10"/>
      <c r="C95" s="10"/>
      <c r="D95" s="11"/>
      <c r="E95" s="27"/>
      <c r="F95" s="28" t="str">
        <f aca="false">IF(OR(D95="",E95=""),"",D95+E95)</f>
        <v/>
      </c>
      <c r="G95" s="24"/>
      <c r="H95" s="24"/>
      <c r="I95" s="24"/>
      <c r="J95" s="18" t="str">
        <f aca="false">IF(B95="","",IF(G95="No",IF(I95="Yes","Impaired – interim control",IF(H95="Yes","IMPAIRED – NO INTERIM CONTROL","Impaired – repair")),IF(F95="","Not scheduled",IF(F95&lt;Dashboard!$C$5,"Service overdue",IF(F95-Dashboard!$C$5&lt;=Lists!$R$5,"Due soon","In service")))))</f>
        <v/>
      </c>
      <c r="K95" s="10"/>
      <c r="L95" s="10"/>
    </row>
    <row r="96" customFormat="false" ht="15" hidden="false" customHeight="false" outlineLevel="0" collapsed="false">
      <c r="A96" s="10"/>
      <c r="B96" s="10"/>
      <c r="C96" s="10"/>
      <c r="D96" s="11"/>
      <c r="E96" s="27"/>
      <c r="F96" s="28" t="str">
        <f aca="false">IF(OR(D96="",E96=""),"",D96+E96)</f>
        <v/>
      </c>
      <c r="G96" s="24"/>
      <c r="H96" s="24"/>
      <c r="I96" s="24"/>
      <c r="J96" s="18" t="str">
        <f aca="false">IF(B96="","",IF(G96="No",IF(I96="Yes","Impaired – interim control",IF(H96="Yes","IMPAIRED – NO INTERIM CONTROL","Impaired – repair")),IF(F96="","Not scheduled",IF(F96&lt;Dashboard!$C$5,"Service overdue",IF(F96-Dashboard!$C$5&lt;=Lists!$R$5,"Due soon","In service")))))</f>
        <v/>
      </c>
      <c r="K96" s="10"/>
      <c r="L96" s="10"/>
    </row>
    <row r="97" customFormat="false" ht="15" hidden="false" customHeight="false" outlineLevel="0" collapsed="false">
      <c r="A97" s="10"/>
      <c r="B97" s="10"/>
      <c r="C97" s="10"/>
      <c r="D97" s="11"/>
      <c r="E97" s="27"/>
      <c r="F97" s="28" t="str">
        <f aca="false">IF(OR(D97="",E97=""),"",D97+E97)</f>
        <v/>
      </c>
      <c r="G97" s="24"/>
      <c r="H97" s="24"/>
      <c r="I97" s="24"/>
      <c r="J97" s="18" t="str">
        <f aca="false">IF(B97="","",IF(G97="No",IF(I97="Yes","Impaired – interim control",IF(H97="Yes","IMPAIRED – NO INTERIM CONTROL","Impaired – repair")),IF(F97="","Not scheduled",IF(F97&lt;Dashboard!$C$5,"Service overdue",IF(F97-Dashboard!$C$5&lt;=Lists!$R$5,"Due soon","In service")))))</f>
        <v/>
      </c>
      <c r="K97" s="10"/>
      <c r="L97" s="10"/>
    </row>
    <row r="98" customFormat="false" ht="15" hidden="false" customHeight="false" outlineLevel="0" collapsed="false">
      <c r="A98" s="10"/>
      <c r="B98" s="10"/>
      <c r="C98" s="10"/>
      <c r="D98" s="11"/>
      <c r="E98" s="27"/>
      <c r="F98" s="28" t="str">
        <f aca="false">IF(OR(D98="",E98=""),"",D98+E98)</f>
        <v/>
      </c>
      <c r="G98" s="24"/>
      <c r="H98" s="24"/>
      <c r="I98" s="24"/>
      <c r="J98" s="18" t="str">
        <f aca="false">IF(B98="","",IF(G98="No",IF(I98="Yes","Impaired – interim control",IF(H98="Yes","IMPAIRED – NO INTERIM CONTROL","Impaired – repair")),IF(F98="","Not scheduled",IF(F98&lt;Dashboard!$C$5,"Service overdue",IF(F98-Dashboard!$C$5&lt;=Lists!$R$5,"Due soon","In service")))))</f>
        <v/>
      </c>
      <c r="K98" s="10"/>
      <c r="L98" s="10"/>
    </row>
    <row r="99" customFormat="false" ht="15" hidden="false" customHeight="false" outlineLevel="0" collapsed="false">
      <c r="A99" s="10"/>
      <c r="B99" s="10"/>
      <c r="C99" s="10"/>
      <c r="D99" s="11"/>
      <c r="E99" s="27"/>
      <c r="F99" s="28" t="str">
        <f aca="false">IF(OR(D99="",E99=""),"",D99+E99)</f>
        <v/>
      </c>
      <c r="G99" s="24"/>
      <c r="H99" s="24"/>
      <c r="I99" s="24"/>
      <c r="J99" s="18" t="str">
        <f aca="false">IF(B99="","",IF(G99="No",IF(I99="Yes","Impaired – interim control",IF(H99="Yes","IMPAIRED – NO INTERIM CONTROL","Impaired – repair")),IF(F99="","Not scheduled",IF(F99&lt;Dashboard!$C$5,"Service overdue",IF(F99-Dashboard!$C$5&lt;=Lists!$R$5,"Due soon","In service")))))</f>
        <v/>
      </c>
      <c r="K99" s="10"/>
      <c r="L99" s="10"/>
    </row>
    <row r="100" customFormat="false" ht="15" hidden="false" customHeight="false" outlineLevel="0" collapsed="false">
      <c r="A100" s="10"/>
      <c r="B100" s="10"/>
      <c r="C100" s="10"/>
      <c r="D100" s="11"/>
      <c r="E100" s="27"/>
      <c r="F100" s="28" t="str">
        <f aca="false">IF(OR(D100="",E100=""),"",D100+E100)</f>
        <v/>
      </c>
      <c r="G100" s="24"/>
      <c r="H100" s="24"/>
      <c r="I100" s="24"/>
      <c r="J100" s="18" t="str">
        <f aca="false">IF(B100="","",IF(G100="No",IF(I100="Yes","Impaired – interim control",IF(H100="Yes","IMPAIRED – NO INTERIM CONTROL","Impaired – repair")),IF(F100="","Not scheduled",IF(F100&lt;Dashboard!$C$5,"Service overdue",IF(F100-Dashboard!$C$5&lt;=Lists!$R$5,"Due soon","In service")))))</f>
        <v/>
      </c>
      <c r="K100" s="10"/>
      <c r="L100" s="10"/>
    </row>
    <row r="101" customFormat="false" ht="15" hidden="false" customHeight="false" outlineLevel="0" collapsed="false">
      <c r="A101" s="10"/>
      <c r="B101" s="10"/>
      <c r="C101" s="10"/>
      <c r="D101" s="11"/>
      <c r="E101" s="27"/>
      <c r="F101" s="28" t="str">
        <f aca="false">IF(OR(D101="",E101=""),"",D101+E101)</f>
        <v/>
      </c>
      <c r="G101" s="24"/>
      <c r="H101" s="24"/>
      <c r="I101" s="24"/>
      <c r="J101" s="18" t="str">
        <f aca="false">IF(B101="","",IF(G101="No",IF(I101="Yes","Impaired – interim control",IF(H101="Yes","IMPAIRED – NO INTERIM CONTROL","Impaired – repair")),IF(F101="","Not scheduled",IF(F101&lt;Dashboard!$C$5,"Service overdue",IF(F101-Dashboard!$C$5&lt;=Lists!$R$5,"Due soon","In service")))))</f>
        <v/>
      </c>
      <c r="K101" s="10"/>
      <c r="L101" s="10"/>
    </row>
    <row r="102" customFormat="false" ht="15" hidden="false" customHeight="false" outlineLevel="0" collapsed="false">
      <c r="A102" s="10"/>
      <c r="B102" s="10"/>
      <c r="C102" s="10"/>
      <c r="D102" s="11"/>
      <c r="E102" s="27"/>
      <c r="F102" s="28" t="str">
        <f aca="false">IF(OR(D102="",E102=""),"",D102+E102)</f>
        <v/>
      </c>
      <c r="G102" s="24"/>
      <c r="H102" s="24"/>
      <c r="I102" s="24"/>
      <c r="J102" s="18" t="str">
        <f aca="false">IF(B102="","",IF(G102="No",IF(I102="Yes","Impaired – interim control",IF(H102="Yes","IMPAIRED – NO INTERIM CONTROL","Impaired – repair")),IF(F102="","Not scheduled",IF(F102&lt;Dashboard!$C$5,"Service overdue",IF(F102-Dashboard!$C$5&lt;=Lists!$R$5,"Due soon","In service")))))</f>
        <v/>
      </c>
      <c r="K102" s="10"/>
      <c r="L102" s="10"/>
    </row>
    <row r="103" customFormat="false" ht="15" hidden="false" customHeight="false" outlineLevel="0" collapsed="false">
      <c r="A103" s="10"/>
      <c r="B103" s="10"/>
      <c r="C103" s="10"/>
      <c r="D103" s="11"/>
      <c r="E103" s="27"/>
      <c r="F103" s="28" t="str">
        <f aca="false">IF(OR(D103="",E103=""),"",D103+E103)</f>
        <v/>
      </c>
      <c r="G103" s="24"/>
      <c r="H103" s="24"/>
      <c r="I103" s="24"/>
      <c r="J103" s="18" t="str">
        <f aca="false">IF(B103="","",IF(G103="No",IF(I103="Yes","Impaired – interim control",IF(H103="Yes","IMPAIRED – NO INTERIM CONTROL","Impaired – repair")),IF(F103="","Not scheduled",IF(F103&lt;Dashboard!$C$5,"Service overdue",IF(F103-Dashboard!$C$5&lt;=Lists!$R$5,"Due soon","In service")))))</f>
        <v/>
      </c>
      <c r="K103" s="10"/>
      <c r="L103" s="10"/>
    </row>
    <row r="104" customFormat="false" ht="15" hidden="false" customHeight="false" outlineLevel="0" collapsed="false">
      <c r="A104" s="10"/>
      <c r="B104" s="10"/>
      <c r="C104" s="10"/>
      <c r="D104" s="11"/>
      <c r="E104" s="27"/>
      <c r="F104" s="28" t="str">
        <f aca="false">IF(OR(D104="",E104=""),"",D104+E104)</f>
        <v/>
      </c>
      <c r="G104" s="24"/>
      <c r="H104" s="24"/>
      <c r="I104" s="24"/>
      <c r="J104" s="18" t="str">
        <f aca="false">IF(B104="","",IF(G104="No",IF(I104="Yes","Impaired – interim control",IF(H104="Yes","IMPAIRED – NO INTERIM CONTROL","Impaired – repair")),IF(F104="","Not scheduled",IF(F104&lt;Dashboard!$C$5,"Service overdue",IF(F104-Dashboard!$C$5&lt;=Lists!$R$5,"Due soon","In service")))))</f>
        <v/>
      </c>
      <c r="K104" s="10"/>
      <c r="L104" s="10"/>
    </row>
    <row r="105" customFormat="false" ht="15" hidden="false" customHeight="false" outlineLevel="0" collapsed="false">
      <c r="A105" s="10"/>
      <c r="B105" s="10"/>
      <c r="C105" s="10"/>
      <c r="D105" s="11"/>
      <c r="E105" s="27"/>
      <c r="F105" s="28" t="str">
        <f aca="false">IF(OR(D105="",E105=""),"",D105+E105)</f>
        <v/>
      </c>
      <c r="G105" s="24"/>
      <c r="H105" s="24"/>
      <c r="I105" s="24"/>
      <c r="J105" s="18" t="str">
        <f aca="false">IF(B105="","",IF(G105="No",IF(I105="Yes","Impaired – interim control",IF(H105="Yes","IMPAIRED – NO INTERIM CONTROL","Impaired – repair")),IF(F105="","Not scheduled",IF(F105&lt;Dashboard!$C$5,"Service overdue",IF(F105-Dashboard!$C$5&lt;=Lists!$R$5,"Due soon","In service")))))</f>
        <v/>
      </c>
      <c r="K105" s="10"/>
      <c r="L105" s="10"/>
    </row>
    <row r="106" customFormat="false" ht="15" hidden="false" customHeight="false" outlineLevel="0" collapsed="false">
      <c r="A106" s="10"/>
      <c r="B106" s="10"/>
      <c r="C106" s="10"/>
      <c r="D106" s="11"/>
      <c r="E106" s="27"/>
      <c r="F106" s="28" t="str">
        <f aca="false">IF(OR(D106="",E106=""),"",D106+E106)</f>
        <v/>
      </c>
      <c r="G106" s="24"/>
      <c r="H106" s="24"/>
      <c r="I106" s="24"/>
      <c r="J106" s="18" t="str">
        <f aca="false">IF(B106="","",IF(G106="No",IF(I106="Yes","Impaired – interim control",IF(H106="Yes","IMPAIRED – NO INTERIM CONTROL","Impaired – repair")),IF(F106="","Not scheduled",IF(F106&lt;Dashboard!$C$5,"Service overdue",IF(F106-Dashboard!$C$5&lt;=Lists!$R$5,"Due soon","In service")))))</f>
        <v/>
      </c>
      <c r="K106" s="10"/>
      <c r="L106" s="10"/>
    </row>
    <row r="107" customFormat="false" ht="15" hidden="false" customHeight="false" outlineLevel="0" collapsed="false">
      <c r="A107" s="10"/>
      <c r="B107" s="10"/>
      <c r="C107" s="10"/>
      <c r="D107" s="11"/>
      <c r="E107" s="27"/>
      <c r="F107" s="28" t="str">
        <f aca="false">IF(OR(D107="",E107=""),"",D107+E107)</f>
        <v/>
      </c>
      <c r="G107" s="24"/>
      <c r="H107" s="24"/>
      <c r="I107" s="24"/>
      <c r="J107" s="18" t="str">
        <f aca="false">IF(B107="","",IF(G107="No",IF(I107="Yes","Impaired – interim control",IF(H107="Yes","IMPAIRED – NO INTERIM CONTROL","Impaired – repair")),IF(F107="","Not scheduled",IF(F107&lt;Dashboard!$C$5,"Service overdue",IF(F107-Dashboard!$C$5&lt;=Lists!$R$5,"Due soon","In service")))))</f>
        <v/>
      </c>
      <c r="K107" s="10"/>
      <c r="L107" s="10"/>
    </row>
    <row r="108" customFormat="false" ht="15" hidden="false" customHeight="false" outlineLevel="0" collapsed="false">
      <c r="A108" s="10"/>
      <c r="B108" s="10"/>
      <c r="C108" s="10"/>
      <c r="D108" s="11"/>
      <c r="E108" s="27"/>
      <c r="F108" s="28" t="str">
        <f aca="false">IF(OR(D108="",E108=""),"",D108+E108)</f>
        <v/>
      </c>
      <c r="G108" s="24"/>
      <c r="H108" s="24"/>
      <c r="I108" s="24"/>
      <c r="J108" s="18" t="str">
        <f aca="false">IF(B108="","",IF(G108="No",IF(I108="Yes","Impaired – interim control",IF(H108="Yes","IMPAIRED – NO INTERIM CONTROL","Impaired – repair")),IF(F108="","Not scheduled",IF(F108&lt;Dashboard!$C$5,"Service overdue",IF(F108-Dashboard!$C$5&lt;=Lists!$R$5,"Due soon","In service")))))</f>
        <v/>
      </c>
      <c r="K108" s="10"/>
      <c r="L108" s="10"/>
    </row>
    <row r="109" customFormat="false" ht="15" hidden="false" customHeight="false" outlineLevel="0" collapsed="false">
      <c r="A109" s="10"/>
      <c r="B109" s="10"/>
      <c r="C109" s="10"/>
      <c r="D109" s="11"/>
      <c r="E109" s="27"/>
      <c r="F109" s="28" t="str">
        <f aca="false">IF(OR(D109="",E109=""),"",D109+E109)</f>
        <v/>
      </c>
      <c r="G109" s="24"/>
      <c r="H109" s="24"/>
      <c r="I109" s="24"/>
      <c r="J109" s="18" t="str">
        <f aca="false">IF(B109="","",IF(G109="No",IF(I109="Yes","Impaired – interim control",IF(H109="Yes","IMPAIRED – NO INTERIM CONTROL","Impaired – repair")),IF(F109="","Not scheduled",IF(F109&lt;Dashboard!$C$5,"Service overdue",IF(F109-Dashboard!$C$5&lt;=Lists!$R$5,"Due soon","In service")))))</f>
        <v/>
      </c>
      <c r="K109" s="10"/>
      <c r="L109" s="10"/>
    </row>
    <row r="110" customFormat="false" ht="15" hidden="false" customHeight="false" outlineLevel="0" collapsed="false">
      <c r="A110" s="10"/>
      <c r="B110" s="10"/>
      <c r="C110" s="10"/>
      <c r="D110" s="11"/>
      <c r="E110" s="27"/>
      <c r="F110" s="28" t="str">
        <f aca="false">IF(OR(D110="",E110=""),"",D110+E110)</f>
        <v/>
      </c>
      <c r="G110" s="24"/>
      <c r="H110" s="24"/>
      <c r="I110" s="24"/>
      <c r="J110" s="18" t="str">
        <f aca="false">IF(B110="","",IF(G110="No",IF(I110="Yes","Impaired – interim control",IF(H110="Yes","IMPAIRED – NO INTERIM CONTROL","Impaired – repair")),IF(F110="","Not scheduled",IF(F110&lt;Dashboard!$C$5,"Service overdue",IF(F110-Dashboard!$C$5&lt;=Lists!$R$5,"Due soon","In service")))))</f>
        <v/>
      </c>
      <c r="K110" s="10"/>
      <c r="L110" s="10"/>
    </row>
    <row r="111" customFormat="false" ht="15" hidden="false" customHeight="false" outlineLevel="0" collapsed="false">
      <c r="A111" s="10"/>
      <c r="B111" s="10"/>
      <c r="C111" s="10"/>
      <c r="D111" s="11"/>
      <c r="E111" s="27"/>
      <c r="F111" s="28" t="str">
        <f aca="false">IF(OR(D111="",E111=""),"",D111+E111)</f>
        <v/>
      </c>
      <c r="G111" s="24"/>
      <c r="H111" s="24"/>
      <c r="I111" s="24"/>
      <c r="J111" s="18" t="str">
        <f aca="false">IF(B111="","",IF(G111="No",IF(I111="Yes","Impaired – interim control",IF(H111="Yes","IMPAIRED – NO INTERIM CONTROL","Impaired – repair")),IF(F111="","Not scheduled",IF(F111&lt;Dashboard!$C$5,"Service overdue",IF(F111-Dashboard!$C$5&lt;=Lists!$R$5,"Due soon","In service")))))</f>
        <v/>
      </c>
      <c r="K111" s="10"/>
      <c r="L111" s="10"/>
    </row>
    <row r="112" customFormat="false" ht="15" hidden="false" customHeight="false" outlineLevel="0" collapsed="false">
      <c r="A112" s="10"/>
      <c r="B112" s="10"/>
      <c r="C112" s="10"/>
      <c r="D112" s="11"/>
      <c r="E112" s="27"/>
      <c r="F112" s="28" t="str">
        <f aca="false">IF(OR(D112="",E112=""),"",D112+E112)</f>
        <v/>
      </c>
      <c r="G112" s="24"/>
      <c r="H112" s="24"/>
      <c r="I112" s="24"/>
      <c r="J112" s="18" t="str">
        <f aca="false">IF(B112="","",IF(G112="No",IF(I112="Yes","Impaired – interim control",IF(H112="Yes","IMPAIRED – NO INTERIM CONTROL","Impaired – repair")),IF(F112="","Not scheduled",IF(F112&lt;Dashboard!$C$5,"Service overdue",IF(F112-Dashboard!$C$5&lt;=Lists!$R$5,"Due soon","In service")))))</f>
        <v/>
      </c>
      <c r="K112" s="10"/>
      <c r="L112" s="10"/>
    </row>
    <row r="113" customFormat="false" ht="15" hidden="false" customHeight="false" outlineLevel="0" collapsed="false">
      <c r="A113" s="10"/>
      <c r="B113" s="10"/>
      <c r="C113" s="10"/>
      <c r="D113" s="11"/>
      <c r="E113" s="27"/>
      <c r="F113" s="28" t="str">
        <f aca="false">IF(OR(D113="",E113=""),"",D113+E113)</f>
        <v/>
      </c>
      <c r="G113" s="24"/>
      <c r="H113" s="24"/>
      <c r="I113" s="24"/>
      <c r="J113" s="18" t="str">
        <f aca="false">IF(B113="","",IF(G113="No",IF(I113="Yes","Impaired – interim control",IF(H113="Yes","IMPAIRED – NO INTERIM CONTROL","Impaired – repair")),IF(F113="","Not scheduled",IF(F113&lt;Dashboard!$C$5,"Service overdue",IF(F113-Dashboard!$C$5&lt;=Lists!$R$5,"Due soon","In service")))))</f>
        <v/>
      </c>
      <c r="K113" s="10"/>
      <c r="L113" s="10"/>
    </row>
    <row r="114" customFormat="false" ht="15" hidden="false" customHeight="false" outlineLevel="0" collapsed="false">
      <c r="A114" s="10"/>
      <c r="B114" s="10"/>
      <c r="C114" s="10"/>
      <c r="D114" s="11"/>
      <c r="E114" s="27"/>
      <c r="F114" s="28" t="str">
        <f aca="false">IF(OR(D114="",E114=""),"",D114+E114)</f>
        <v/>
      </c>
      <c r="G114" s="24"/>
      <c r="H114" s="24"/>
      <c r="I114" s="24"/>
      <c r="J114" s="18" t="str">
        <f aca="false">IF(B114="","",IF(G114="No",IF(I114="Yes","Impaired – interim control",IF(H114="Yes","IMPAIRED – NO INTERIM CONTROL","Impaired – repair")),IF(F114="","Not scheduled",IF(F114&lt;Dashboard!$C$5,"Service overdue",IF(F114-Dashboard!$C$5&lt;=Lists!$R$5,"Due soon","In service")))))</f>
        <v/>
      </c>
      <c r="K114" s="10"/>
      <c r="L114" s="10"/>
    </row>
    <row r="115" customFormat="false" ht="15" hidden="false" customHeight="false" outlineLevel="0" collapsed="false">
      <c r="A115" s="10"/>
      <c r="B115" s="10"/>
      <c r="C115" s="10"/>
      <c r="D115" s="11"/>
      <c r="E115" s="27"/>
      <c r="F115" s="28" t="str">
        <f aca="false">IF(OR(D115="",E115=""),"",D115+E115)</f>
        <v/>
      </c>
      <c r="G115" s="24"/>
      <c r="H115" s="24"/>
      <c r="I115" s="24"/>
      <c r="J115" s="18" t="str">
        <f aca="false">IF(B115="","",IF(G115="No",IF(I115="Yes","Impaired – interim control",IF(H115="Yes","IMPAIRED – NO INTERIM CONTROL","Impaired – repair")),IF(F115="","Not scheduled",IF(F115&lt;Dashboard!$C$5,"Service overdue",IF(F115-Dashboard!$C$5&lt;=Lists!$R$5,"Due soon","In service")))))</f>
        <v/>
      </c>
      <c r="K115" s="10"/>
      <c r="L115" s="10"/>
    </row>
    <row r="116" customFormat="false" ht="15" hidden="false" customHeight="false" outlineLevel="0" collapsed="false">
      <c r="A116" s="10"/>
      <c r="B116" s="10"/>
      <c r="C116" s="10"/>
      <c r="D116" s="11"/>
      <c r="E116" s="27"/>
      <c r="F116" s="28" t="str">
        <f aca="false">IF(OR(D116="",E116=""),"",D116+E116)</f>
        <v/>
      </c>
      <c r="G116" s="24"/>
      <c r="H116" s="24"/>
      <c r="I116" s="24"/>
      <c r="J116" s="18" t="str">
        <f aca="false">IF(B116="","",IF(G116="No",IF(I116="Yes","Impaired – interim control",IF(H116="Yes","IMPAIRED – NO INTERIM CONTROL","Impaired – repair")),IF(F116="","Not scheduled",IF(F116&lt;Dashboard!$C$5,"Service overdue",IF(F116-Dashboard!$C$5&lt;=Lists!$R$5,"Due soon","In service")))))</f>
        <v/>
      </c>
      <c r="K116" s="10"/>
      <c r="L116" s="10"/>
    </row>
    <row r="117" customFormat="false" ht="15" hidden="false" customHeight="false" outlineLevel="0" collapsed="false">
      <c r="A117" s="10"/>
      <c r="B117" s="10"/>
      <c r="C117" s="10"/>
      <c r="D117" s="11"/>
      <c r="E117" s="27"/>
      <c r="F117" s="28" t="str">
        <f aca="false">IF(OR(D117="",E117=""),"",D117+E117)</f>
        <v/>
      </c>
      <c r="G117" s="24"/>
      <c r="H117" s="24"/>
      <c r="I117" s="24"/>
      <c r="J117" s="18" t="str">
        <f aca="false">IF(B117="","",IF(G117="No",IF(I117="Yes","Impaired – interim control",IF(H117="Yes","IMPAIRED – NO INTERIM CONTROL","Impaired – repair")),IF(F117="","Not scheduled",IF(F117&lt;Dashboard!$C$5,"Service overdue",IF(F117-Dashboard!$C$5&lt;=Lists!$R$5,"Due soon","In service")))))</f>
        <v/>
      </c>
      <c r="K117" s="10"/>
      <c r="L117" s="10"/>
    </row>
    <row r="118" customFormat="false" ht="15" hidden="false" customHeight="false" outlineLevel="0" collapsed="false">
      <c r="A118" s="10"/>
      <c r="B118" s="10"/>
      <c r="C118" s="10"/>
      <c r="D118" s="11"/>
      <c r="E118" s="27"/>
      <c r="F118" s="28" t="str">
        <f aca="false">IF(OR(D118="",E118=""),"",D118+E118)</f>
        <v/>
      </c>
      <c r="G118" s="24"/>
      <c r="H118" s="24"/>
      <c r="I118" s="24"/>
      <c r="J118" s="18" t="str">
        <f aca="false">IF(B118="","",IF(G118="No",IF(I118="Yes","Impaired – interim control",IF(H118="Yes","IMPAIRED – NO INTERIM CONTROL","Impaired – repair")),IF(F118="","Not scheduled",IF(F118&lt;Dashboard!$C$5,"Service overdue",IF(F118-Dashboard!$C$5&lt;=Lists!$R$5,"Due soon","In service")))))</f>
        <v/>
      </c>
      <c r="K118" s="10"/>
      <c r="L118" s="10"/>
    </row>
    <row r="119" customFormat="false" ht="15" hidden="false" customHeight="false" outlineLevel="0" collapsed="false">
      <c r="A119" s="10"/>
      <c r="B119" s="10"/>
      <c r="C119" s="10"/>
      <c r="D119" s="11"/>
      <c r="E119" s="27"/>
      <c r="F119" s="28" t="str">
        <f aca="false">IF(OR(D119="",E119=""),"",D119+E119)</f>
        <v/>
      </c>
      <c r="G119" s="24"/>
      <c r="H119" s="24"/>
      <c r="I119" s="24"/>
      <c r="J119" s="18" t="str">
        <f aca="false">IF(B119="","",IF(G119="No",IF(I119="Yes","Impaired – interim control",IF(H119="Yes","IMPAIRED – NO INTERIM CONTROL","Impaired – repair")),IF(F119="","Not scheduled",IF(F119&lt;Dashboard!$C$5,"Service overdue",IF(F119-Dashboard!$C$5&lt;=Lists!$R$5,"Due soon","In service")))))</f>
        <v/>
      </c>
      <c r="K119" s="10"/>
      <c r="L119" s="10"/>
    </row>
    <row r="120" customFormat="false" ht="15" hidden="false" customHeight="false" outlineLevel="0" collapsed="false">
      <c r="A120" s="10"/>
      <c r="B120" s="10"/>
      <c r="C120" s="10"/>
      <c r="D120" s="11"/>
      <c r="E120" s="27"/>
      <c r="F120" s="28" t="str">
        <f aca="false">IF(OR(D120="",E120=""),"",D120+E120)</f>
        <v/>
      </c>
      <c r="G120" s="24"/>
      <c r="H120" s="24"/>
      <c r="I120" s="24"/>
      <c r="J120" s="18" t="str">
        <f aca="false">IF(B120="","",IF(G120="No",IF(I120="Yes","Impaired – interim control",IF(H120="Yes","IMPAIRED – NO INTERIM CONTROL","Impaired – repair")),IF(F120="","Not scheduled",IF(F120&lt;Dashboard!$C$5,"Service overdue",IF(F120-Dashboard!$C$5&lt;=Lists!$R$5,"Due soon","In service")))))</f>
        <v/>
      </c>
      <c r="K120" s="10"/>
      <c r="L120" s="10"/>
    </row>
    <row r="121" customFormat="false" ht="15" hidden="false" customHeight="false" outlineLevel="0" collapsed="false">
      <c r="A121" s="10"/>
      <c r="B121" s="10"/>
      <c r="C121" s="10"/>
      <c r="D121" s="11"/>
      <c r="E121" s="27"/>
      <c r="F121" s="28" t="str">
        <f aca="false">IF(OR(D121="",E121=""),"",D121+E121)</f>
        <v/>
      </c>
      <c r="G121" s="24"/>
      <c r="H121" s="24"/>
      <c r="I121" s="24"/>
      <c r="J121" s="18" t="str">
        <f aca="false">IF(B121="","",IF(G121="No",IF(I121="Yes","Impaired – interim control",IF(H121="Yes","IMPAIRED – NO INTERIM CONTROL","Impaired – repair")),IF(F121="","Not scheduled",IF(F121&lt;Dashboard!$C$5,"Service overdue",IF(F121-Dashboard!$C$5&lt;=Lists!$R$5,"Due soon","In service")))))</f>
        <v/>
      </c>
      <c r="K121" s="10"/>
      <c r="L121" s="10"/>
    </row>
    <row r="122" customFormat="false" ht="15" hidden="false" customHeight="false" outlineLevel="0" collapsed="false">
      <c r="A122" s="10"/>
      <c r="B122" s="10"/>
      <c r="C122" s="10"/>
      <c r="D122" s="11"/>
      <c r="E122" s="27"/>
      <c r="F122" s="28" t="str">
        <f aca="false">IF(OR(D122="",E122=""),"",D122+E122)</f>
        <v/>
      </c>
      <c r="G122" s="24"/>
      <c r="H122" s="24"/>
      <c r="I122" s="24"/>
      <c r="J122" s="18" t="str">
        <f aca="false">IF(B122="","",IF(G122="No",IF(I122="Yes","Impaired – interim control",IF(H122="Yes","IMPAIRED – NO INTERIM CONTROL","Impaired – repair")),IF(F122="","Not scheduled",IF(F122&lt;Dashboard!$C$5,"Service overdue",IF(F122-Dashboard!$C$5&lt;=Lists!$R$5,"Due soon","In service")))))</f>
        <v/>
      </c>
      <c r="K122" s="10"/>
      <c r="L122" s="10"/>
    </row>
    <row r="123" customFormat="false" ht="15" hidden="false" customHeight="false" outlineLevel="0" collapsed="false">
      <c r="A123" s="10"/>
      <c r="B123" s="10"/>
      <c r="C123" s="10"/>
      <c r="D123" s="11"/>
      <c r="E123" s="27"/>
      <c r="F123" s="28" t="str">
        <f aca="false">IF(OR(D123="",E123=""),"",D123+E123)</f>
        <v/>
      </c>
      <c r="G123" s="24"/>
      <c r="H123" s="24"/>
      <c r="I123" s="24"/>
      <c r="J123" s="18" t="str">
        <f aca="false">IF(B123="","",IF(G123="No",IF(I123="Yes","Impaired – interim control",IF(H123="Yes","IMPAIRED – NO INTERIM CONTROL","Impaired – repair")),IF(F123="","Not scheduled",IF(F123&lt;Dashboard!$C$5,"Service overdue",IF(F123-Dashboard!$C$5&lt;=Lists!$R$5,"Due soon","In service")))))</f>
        <v/>
      </c>
      <c r="K123" s="10"/>
      <c r="L123" s="10"/>
    </row>
    <row r="124" customFormat="false" ht="15" hidden="false" customHeight="false" outlineLevel="0" collapsed="false">
      <c r="A124" s="10"/>
      <c r="B124" s="10"/>
      <c r="C124" s="10"/>
      <c r="D124" s="11"/>
      <c r="E124" s="27"/>
      <c r="F124" s="28" t="str">
        <f aca="false">IF(OR(D124="",E124=""),"",D124+E124)</f>
        <v/>
      </c>
      <c r="G124" s="24"/>
      <c r="H124" s="24"/>
      <c r="I124" s="24"/>
      <c r="J124" s="18" t="str">
        <f aca="false">IF(B124="","",IF(G124="No",IF(I124="Yes","Impaired – interim control",IF(H124="Yes","IMPAIRED – NO INTERIM CONTROL","Impaired – repair")),IF(F124="","Not scheduled",IF(F124&lt;Dashboard!$C$5,"Service overdue",IF(F124-Dashboard!$C$5&lt;=Lists!$R$5,"Due soon","In service")))))</f>
        <v/>
      </c>
      <c r="K124" s="10"/>
      <c r="L124" s="10"/>
    </row>
    <row r="125" customFormat="false" ht="15" hidden="false" customHeight="false" outlineLevel="0" collapsed="false">
      <c r="A125" s="10"/>
      <c r="B125" s="10"/>
      <c r="C125" s="10"/>
      <c r="D125" s="11"/>
      <c r="E125" s="27"/>
      <c r="F125" s="28" t="str">
        <f aca="false">IF(OR(D125="",E125=""),"",D125+E125)</f>
        <v/>
      </c>
      <c r="G125" s="24"/>
      <c r="H125" s="24"/>
      <c r="I125" s="24"/>
      <c r="J125" s="18" t="str">
        <f aca="false">IF(B125="","",IF(G125="No",IF(I125="Yes","Impaired – interim control",IF(H125="Yes","IMPAIRED – NO INTERIM CONTROL","Impaired – repair")),IF(F125="","Not scheduled",IF(F125&lt;Dashboard!$C$5,"Service overdue",IF(F125-Dashboard!$C$5&lt;=Lists!$R$5,"Due soon","In service")))))</f>
        <v/>
      </c>
      <c r="K125" s="10"/>
      <c r="L125" s="10"/>
    </row>
    <row r="126" customFormat="false" ht="15" hidden="false" customHeight="false" outlineLevel="0" collapsed="false">
      <c r="A126" s="10"/>
      <c r="B126" s="10"/>
      <c r="C126" s="10"/>
      <c r="D126" s="11"/>
      <c r="E126" s="27"/>
      <c r="F126" s="28" t="str">
        <f aca="false">IF(OR(D126="",E126=""),"",D126+E126)</f>
        <v/>
      </c>
      <c r="G126" s="24"/>
      <c r="H126" s="24"/>
      <c r="I126" s="24"/>
      <c r="J126" s="18" t="str">
        <f aca="false">IF(B126="","",IF(G126="No",IF(I126="Yes","Impaired – interim control",IF(H126="Yes","IMPAIRED – NO INTERIM CONTROL","Impaired – repair")),IF(F126="","Not scheduled",IF(F126&lt;Dashboard!$C$5,"Service overdue",IF(F126-Dashboard!$C$5&lt;=Lists!$R$5,"Due soon","In service")))))</f>
        <v/>
      </c>
      <c r="K126" s="10"/>
      <c r="L126" s="10"/>
    </row>
    <row r="127" customFormat="false" ht="15" hidden="false" customHeight="false" outlineLevel="0" collapsed="false">
      <c r="A127" s="10"/>
      <c r="B127" s="10"/>
      <c r="C127" s="10"/>
      <c r="D127" s="11"/>
      <c r="E127" s="27"/>
      <c r="F127" s="28" t="str">
        <f aca="false">IF(OR(D127="",E127=""),"",D127+E127)</f>
        <v/>
      </c>
      <c r="G127" s="24"/>
      <c r="H127" s="24"/>
      <c r="I127" s="24"/>
      <c r="J127" s="18" t="str">
        <f aca="false">IF(B127="","",IF(G127="No",IF(I127="Yes","Impaired – interim control",IF(H127="Yes","IMPAIRED – NO INTERIM CONTROL","Impaired – repair")),IF(F127="","Not scheduled",IF(F127&lt;Dashboard!$C$5,"Service overdue",IF(F127-Dashboard!$C$5&lt;=Lists!$R$5,"Due soon","In service")))))</f>
        <v/>
      </c>
      <c r="K127" s="10"/>
      <c r="L127" s="10"/>
    </row>
    <row r="128" customFormat="false" ht="15" hidden="false" customHeight="false" outlineLevel="0" collapsed="false">
      <c r="A128" s="10"/>
      <c r="B128" s="10"/>
      <c r="C128" s="10"/>
      <c r="D128" s="11"/>
      <c r="E128" s="27"/>
      <c r="F128" s="28" t="str">
        <f aca="false">IF(OR(D128="",E128=""),"",D128+E128)</f>
        <v/>
      </c>
      <c r="G128" s="24"/>
      <c r="H128" s="24"/>
      <c r="I128" s="24"/>
      <c r="J128" s="18" t="str">
        <f aca="false">IF(B128="","",IF(G128="No",IF(I128="Yes","Impaired – interim control",IF(H128="Yes","IMPAIRED – NO INTERIM CONTROL","Impaired – repair")),IF(F128="","Not scheduled",IF(F128&lt;Dashboard!$C$5,"Service overdue",IF(F128-Dashboard!$C$5&lt;=Lists!$R$5,"Due soon","In service")))))</f>
        <v/>
      </c>
      <c r="K128" s="10"/>
      <c r="L128" s="10"/>
    </row>
    <row r="129" customFormat="false" ht="15" hidden="false" customHeight="false" outlineLevel="0" collapsed="false">
      <c r="A129" s="10"/>
      <c r="B129" s="10"/>
      <c r="C129" s="10"/>
      <c r="D129" s="11"/>
      <c r="E129" s="27"/>
      <c r="F129" s="28" t="str">
        <f aca="false">IF(OR(D129="",E129=""),"",D129+E129)</f>
        <v/>
      </c>
      <c r="G129" s="24"/>
      <c r="H129" s="24"/>
      <c r="I129" s="24"/>
      <c r="J129" s="18" t="str">
        <f aca="false">IF(B129="","",IF(G129="No",IF(I129="Yes","Impaired – interim control",IF(H129="Yes","IMPAIRED – NO INTERIM CONTROL","Impaired – repair")),IF(F129="","Not scheduled",IF(F129&lt;Dashboard!$C$5,"Service overdue",IF(F129-Dashboard!$C$5&lt;=Lists!$R$5,"Due soon","In service")))))</f>
        <v/>
      </c>
      <c r="K129" s="10"/>
      <c r="L129" s="10"/>
    </row>
    <row r="130" customFormat="false" ht="15" hidden="false" customHeight="false" outlineLevel="0" collapsed="false">
      <c r="A130" s="10"/>
      <c r="B130" s="10"/>
      <c r="C130" s="10"/>
      <c r="D130" s="11"/>
      <c r="E130" s="27"/>
      <c r="F130" s="28" t="str">
        <f aca="false">IF(OR(D130="",E130=""),"",D130+E130)</f>
        <v/>
      </c>
      <c r="G130" s="24"/>
      <c r="H130" s="24"/>
      <c r="I130" s="24"/>
      <c r="J130" s="18" t="str">
        <f aca="false">IF(B130="","",IF(G130="No",IF(I130="Yes","Impaired – interim control",IF(H130="Yes","IMPAIRED – NO INTERIM CONTROL","Impaired – repair")),IF(F130="","Not scheduled",IF(F130&lt;Dashboard!$C$5,"Service overdue",IF(F130-Dashboard!$C$5&lt;=Lists!$R$5,"Due soon","In service")))))</f>
        <v/>
      </c>
      <c r="K130" s="10"/>
      <c r="L130" s="10"/>
    </row>
    <row r="131" customFormat="false" ht="15" hidden="false" customHeight="false" outlineLevel="0" collapsed="false">
      <c r="A131" s="10"/>
      <c r="B131" s="10"/>
      <c r="C131" s="10"/>
      <c r="D131" s="11"/>
      <c r="E131" s="27"/>
      <c r="F131" s="28" t="str">
        <f aca="false">IF(OR(D131="",E131=""),"",D131+E131)</f>
        <v/>
      </c>
      <c r="G131" s="24"/>
      <c r="H131" s="24"/>
      <c r="I131" s="24"/>
      <c r="J131" s="18" t="str">
        <f aca="false">IF(B131="","",IF(G131="No",IF(I131="Yes","Impaired – interim control",IF(H131="Yes","IMPAIRED – NO INTERIM CONTROL","Impaired – repair")),IF(F131="","Not scheduled",IF(F131&lt;Dashboard!$C$5,"Service overdue",IF(F131-Dashboard!$C$5&lt;=Lists!$R$5,"Due soon","In service")))))</f>
        <v/>
      </c>
      <c r="K131" s="10"/>
      <c r="L131" s="10"/>
    </row>
    <row r="132" customFormat="false" ht="15" hidden="false" customHeight="false" outlineLevel="0" collapsed="false">
      <c r="A132" s="10"/>
      <c r="B132" s="10"/>
      <c r="C132" s="10"/>
      <c r="D132" s="11"/>
      <c r="E132" s="27"/>
      <c r="F132" s="28" t="str">
        <f aca="false">IF(OR(D132="",E132=""),"",D132+E132)</f>
        <v/>
      </c>
      <c r="G132" s="24"/>
      <c r="H132" s="24"/>
      <c r="I132" s="24"/>
      <c r="J132" s="18" t="str">
        <f aca="false">IF(B132="","",IF(G132="No",IF(I132="Yes","Impaired – interim control",IF(H132="Yes","IMPAIRED – NO INTERIM CONTROL","Impaired – repair")),IF(F132="","Not scheduled",IF(F132&lt;Dashboard!$C$5,"Service overdue",IF(F132-Dashboard!$C$5&lt;=Lists!$R$5,"Due soon","In service")))))</f>
        <v/>
      </c>
      <c r="K132" s="10"/>
      <c r="L132" s="10"/>
    </row>
    <row r="133" customFormat="false" ht="15" hidden="false" customHeight="false" outlineLevel="0" collapsed="false">
      <c r="A133" s="10"/>
      <c r="B133" s="10"/>
      <c r="C133" s="10"/>
      <c r="D133" s="11"/>
      <c r="E133" s="27"/>
      <c r="F133" s="28" t="str">
        <f aca="false">IF(OR(D133="",E133=""),"",D133+E133)</f>
        <v/>
      </c>
      <c r="G133" s="24"/>
      <c r="H133" s="24"/>
      <c r="I133" s="24"/>
      <c r="J133" s="18" t="str">
        <f aca="false">IF(B133="","",IF(G133="No",IF(I133="Yes","Impaired – interim control",IF(H133="Yes","IMPAIRED – NO INTERIM CONTROL","Impaired – repair")),IF(F133="","Not scheduled",IF(F133&lt;Dashboard!$C$5,"Service overdue",IF(F133-Dashboard!$C$5&lt;=Lists!$R$5,"Due soon","In service")))))</f>
        <v/>
      </c>
      <c r="K133" s="10"/>
      <c r="L133" s="10"/>
    </row>
    <row r="134" customFormat="false" ht="15" hidden="false" customHeight="false" outlineLevel="0" collapsed="false">
      <c r="A134" s="10"/>
      <c r="B134" s="10"/>
      <c r="C134" s="10"/>
      <c r="D134" s="11"/>
      <c r="E134" s="27"/>
      <c r="F134" s="28" t="str">
        <f aca="false">IF(OR(D134="",E134=""),"",D134+E134)</f>
        <v/>
      </c>
      <c r="G134" s="24"/>
      <c r="H134" s="24"/>
      <c r="I134" s="24"/>
      <c r="J134" s="18" t="str">
        <f aca="false">IF(B134="","",IF(G134="No",IF(I134="Yes","Impaired – interim control",IF(H134="Yes","IMPAIRED – NO INTERIM CONTROL","Impaired – repair")),IF(F134="","Not scheduled",IF(F134&lt;Dashboard!$C$5,"Service overdue",IF(F134-Dashboard!$C$5&lt;=Lists!$R$5,"Due soon","In service")))))</f>
        <v/>
      </c>
      <c r="K134" s="10"/>
      <c r="L134" s="10"/>
    </row>
    <row r="135" customFormat="false" ht="15" hidden="false" customHeight="false" outlineLevel="0" collapsed="false">
      <c r="A135" s="10"/>
      <c r="B135" s="10"/>
      <c r="C135" s="10"/>
      <c r="D135" s="11"/>
      <c r="E135" s="27"/>
      <c r="F135" s="28" t="str">
        <f aca="false">IF(OR(D135="",E135=""),"",D135+E135)</f>
        <v/>
      </c>
      <c r="G135" s="24"/>
      <c r="H135" s="24"/>
      <c r="I135" s="24"/>
      <c r="J135" s="18" t="str">
        <f aca="false">IF(B135="","",IF(G135="No",IF(I135="Yes","Impaired – interim control",IF(H135="Yes","IMPAIRED – NO INTERIM CONTROL","Impaired – repair")),IF(F135="","Not scheduled",IF(F135&lt;Dashboard!$C$5,"Service overdue",IF(F135-Dashboard!$C$5&lt;=Lists!$R$5,"Due soon","In service")))))</f>
        <v/>
      </c>
      <c r="K135" s="10"/>
      <c r="L135" s="10"/>
    </row>
    <row r="136" customFormat="false" ht="15" hidden="false" customHeight="false" outlineLevel="0" collapsed="false">
      <c r="A136" s="10"/>
      <c r="B136" s="10"/>
      <c r="C136" s="10"/>
      <c r="D136" s="11"/>
      <c r="E136" s="27"/>
      <c r="F136" s="28" t="str">
        <f aca="false">IF(OR(D136="",E136=""),"",D136+E136)</f>
        <v/>
      </c>
      <c r="G136" s="24"/>
      <c r="H136" s="24"/>
      <c r="I136" s="24"/>
      <c r="J136" s="18" t="str">
        <f aca="false">IF(B136="","",IF(G136="No",IF(I136="Yes","Impaired – interim control",IF(H136="Yes","IMPAIRED – NO INTERIM CONTROL","Impaired – repair")),IF(F136="","Not scheduled",IF(F136&lt;Dashboard!$C$5,"Service overdue",IF(F136-Dashboard!$C$5&lt;=Lists!$R$5,"Due soon","In service")))))</f>
        <v/>
      </c>
      <c r="K136" s="10"/>
      <c r="L136" s="10"/>
    </row>
    <row r="137" customFormat="false" ht="15" hidden="false" customHeight="false" outlineLevel="0" collapsed="false">
      <c r="A137" s="10"/>
      <c r="B137" s="10"/>
      <c r="C137" s="10"/>
      <c r="D137" s="11"/>
      <c r="E137" s="27"/>
      <c r="F137" s="28" t="str">
        <f aca="false">IF(OR(D137="",E137=""),"",D137+E137)</f>
        <v/>
      </c>
      <c r="G137" s="24"/>
      <c r="H137" s="24"/>
      <c r="I137" s="24"/>
      <c r="J137" s="18" t="str">
        <f aca="false">IF(B137="","",IF(G137="No",IF(I137="Yes","Impaired – interim control",IF(H137="Yes","IMPAIRED – NO INTERIM CONTROL","Impaired – repair")),IF(F137="","Not scheduled",IF(F137&lt;Dashboard!$C$5,"Service overdue",IF(F137-Dashboard!$C$5&lt;=Lists!$R$5,"Due soon","In service")))))</f>
        <v/>
      </c>
      <c r="K137" s="10"/>
      <c r="L137" s="10"/>
    </row>
    <row r="138" customFormat="false" ht="15" hidden="false" customHeight="false" outlineLevel="0" collapsed="false">
      <c r="A138" s="10"/>
      <c r="B138" s="10"/>
      <c r="C138" s="10"/>
      <c r="D138" s="11"/>
      <c r="E138" s="27"/>
      <c r="F138" s="28" t="str">
        <f aca="false">IF(OR(D138="",E138=""),"",D138+E138)</f>
        <v/>
      </c>
      <c r="G138" s="24"/>
      <c r="H138" s="24"/>
      <c r="I138" s="24"/>
      <c r="J138" s="18" t="str">
        <f aca="false">IF(B138="","",IF(G138="No",IF(I138="Yes","Impaired – interim control",IF(H138="Yes","IMPAIRED – NO INTERIM CONTROL","Impaired – repair")),IF(F138="","Not scheduled",IF(F138&lt;Dashboard!$C$5,"Service overdue",IF(F138-Dashboard!$C$5&lt;=Lists!$R$5,"Due soon","In service")))))</f>
        <v/>
      </c>
      <c r="K138" s="10"/>
      <c r="L138" s="10"/>
    </row>
    <row r="139" customFormat="false" ht="15" hidden="false" customHeight="false" outlineLevel="0" collapsed="false">
      <c r="A139" s="10"/>
      <c r="B139" s="10"/>
      <c r="C139" s="10"/>
      <c r="D139" s="11"/>
      <c r="E139" s="27"/>
      <c r="F139" s="28" t="str">
        <f aca="false">IF(OR(D139="",E139=""),"",D139+E139)</f>
        <v/>
      </c>
      <c r="G139" s="24"/>
      <c r="H139" s="24"/>
      <c r="I139" s="24"/>
      <c r="J139" s="18" t="str">
        <f aca="false">IF(B139="","",IF(G139="No",IF(I139="Yes","Impaired – interim control",IF(H139="Yes","IMPAIRED – NO INTERIM CONTROL","Impaired – repair")),IF(F139="","Not scheduled",IF(F139&lt;Dashboard!$C$5,"Service overdue",IF(F139-Dashboard!$C$5&lt;=Lists!$R$5,"Due soon","In service")))))</f>
        <v/>
      </c>
      <c r="K139" s="10"/>
      <c r="L139" s="10"/>
    </row>
    <row r="140" customFormat="false" ht="15" hidden="false" customHeight="false" outlineLevel="0" collapsed="false">
      <c r="A140" s="10"/>
      <c r="B140" s="10"/>
      <c r="C140" s="10"/>
      <c r="D140" s="11"/>
      <c r="E140" s="27"/>
      <c r="F140" s="28" t="str">
        <f aca="false">IF(OR(D140="",E140=""),"",D140+E140)</f>
        <v/>
      </c>
      <c r="G140" s="24"/>
      <c r="H140" s="24"/>
      <c r="I140" s="24"/>
      <c r="J140" s="18" t="str">
        <f aca="false">IF(B140="","",IF(G140="No",IF(I140="Yes","Impaired – interim control",IF(H140="Yes","IMPAIRED – NO INTERIM CONTROL","Impaired – repair")),IF(F140="","Not scheduled",IF(F140&lt;Dashboard!$C$5,"Service overdue",IF(F140-Dashboard!$C$5&lt;=Lists!$R$5,"Due soon","In service")))))</f>
        <v/>
      </c>
      <c r="K140" s="10"/>
      <c r="L140" s="10"/>
    </row>
    <row r="141" customFormat="false" ht="15" hidden="false" customHeight="false" outlineLevel="0" collapsed="false">
      <c r="A141" s="10"/>
      <c r="B141" s="10"/>
      <c r="C141" s="10"/>
      <c r="D141" s="11"/>
      <c r="E141" s="27"/>
      <c r="F141" s="28" t="str">
        <f aca="false">IF(OR(D141="",E141=""),"",D141+E141)</f>
        <v/>
      </c>
      <c r="G141" s="24"/>
      <c r="H141" s="24"/>
      <c r="I141" s="24"/>
      <c r="J141" s="18" t="str">
        <f aca="false">IF(B141="","",IF(G141="No",IF(I141="Yes","Impaired – interim control",IF(H141="Yes","IMPAIRED – NO INTERIM CONTROL","Impaired – repair")),IF(F141="","Not scheduled",IF(F141&lt;Dashboard!$C$5,"Service overdue",IF(F141-Dashboard!$C$5&lt;=Lists!$R$5,"Due soon","In service")))))</f>
        <v/>
      </c>
      <c r="K141" s="10"/>
      <c r="L141" s="10"/>
    </row>
    <row r="142" customFormat="false" ht="15" hidden="false" customHeight="false" outlineLevel="0" collapsed="false">
      <c r="A142" s="10"/>
      <c r="B142" s="10"/>
      <c r="C142" s="10"/>
      <c r="D142" s="11"/>
      <c r="E142" s="27"/>
      <c r="F142" s="28" t="str">
        <f aca="false">IF(OR(D142="",E142=""),"",D142+E142)</f>
        <v/>
      </c>
      <c r="G142" s="24"/>
      <c r="H142" s="24"/>
      <c r="I142" s="24"/>
      <c r="J142" s="18" t="str">
        <f aca="false">IF(B142="","",IF(G142="No",IF(I142="Yes","Impaired – interim control",IF(H142="Yes","IMPAIRED – NO INTERIM CONTROL","Impaired – repair")),IF(F142="","Not scheduled",IF(F142&lt;Dashboard!$C$5,"Service overdue",IF(F142-Dashboard!$C$5&lt;=Lists!$R$5,"Due soon","In service")))))</f>
        <v/>
      </c>
      <c r="K142" s="10"/>
      <c r="L142" s="10"/>
    </row>
    <row r="143" customFormat="false" ht="15" hidden="false" customHeight="false" outlineLevel="0" collapsed="false">
      <c r="A143" s="10"/>
      <c r="B143" s="10"/>
      <c r="C143" s="10"/>
      <c r="D143" s="11"/>
      <c r="E143" s="27"/>
      <c r="F143" s="28" t="str">
        <f aca="false">IF(OR(D143="",E143=""),"",D143+E143)</f>
        <v/>
      </c>
      <c r="G143" s="24"/>
      <c r="H143" s="24"/>
      <c r="I143" s="24"/>
      <c r="J143" s="18" t="str">
        <f aca="false">IF(B143="","",IF(G143="No",IF(I143="Yes","Impaired – interim control",IF(H143="Yes","IMPAIRED – NO INTERIM CONTROL","Impaired – repair")),IF(F143="","Not scheduled",IF(F143&lt;Dashboard!$C$5,"Service overdue",IF(F143-Dashboard!$C$5&lt;=Lists!$R$5,"Due soon","In service")))))</f>
        <v/>
      </c>
      <c r="K143" s="10"/>
      <c r="L143" s="10"/>
    </row>
    <row r="144" customFormat="false" ht="15" hidden="false" customHeight="false" outlineLevel="0" collapsed="false">
      <c r="A144" s="10"/>
      <c r="B144" s="10"/>
      <c r="C144" s="10"/>
      <c r="D144" s="11"/>
      <c r="E144" s="27"/>
      <c r="F144" s="28" t="str">
        <f aca="false">IF(OR(D144="",E144=""),"",D144+E144)</f>
        <v/>
      </c>
      <c r="G144" s="24"/>
      <c r="H144" s="24"/>
      <c r="I144" s="24"/>
      <c r="J144" s="18" t="str">
        <f aca="false">IF(B144="","",IF(G144="No",IF(I144="Yes","Impaired – interim control",IF(H144="Yes","IMPAIRED – NO INTERIM CONTROL","Impaired – repair")),IF(F144="","Not scheduled",IF(F144&lt;Dashboard!$C$5,"Service overdue",IF(F144-Dashboard!$C$5&lt;=Lists!$R$5,"Due soon","In service")))))</f>
        <v/>
      </c>
      <c r="K144" s="10"/>
      <c r="L144" s="10"/>
    </row>
    <row r="145" customFormat="false" ht="15" hidden="false" customHeight="false" outlineLevel="0" collapsed="false">
      <c r="A145" s="10"/>
      <c r="B145" s="10"/>
      <c r="C145" s="10"/>
      <c r="D145" s="11"/>
      <c r="E145" s="27"/>
      <c r="F145" s="28" t="str">
        <f aca="false">IF(OR(D145="",E145=""),"",D145+E145)</f>
        <v/>
      </c>
      <c r="G145" s="24"/>
      <c r="H145" s="24"/>
      <c r="I145" s="24"/>
      <c r="J145" s="18" t="str">
        <f aca="false">IF(B145="","",IF(G145="No",IF(I145="Yes","Impaired – interim control",IF(H145="Yes","IMPAIRED – NO INTERIM CONTROL","Impaired – repair")),IF(F145="","Not scheduled",IF(F145&lt;Dashboard!$C$5,"Service overdue",IF(F145-Dashboard!$C$5&lt;=Lists!$R$5,"Due soon","In service")))))</f>
        <v/>
      </c>
      <c r="K145" s="10"/>
      <c r="L145" s="10"/>
    </row>
    <row r="146" customFormat="false" ht="15" hidden="false" customHeight="false" outlineLevel="0" collapsed="false">
      <c r="A146" s="10"/>
      <c r="B146" s="10"/>
      <c r="C146" s="10"/>
      <c r="D146" s="11"/>
      <c r="E146" s="27"/>
      <c r="F146" s="28" t="str">
        <f aca="false">IF(OR(D146="",E146=""),"",D146+E146)</f>
        <v/>
      </c>
      <c r="G146" s="24"/>
      <c r="H146" s="24"/>
      <c r="I146" s="24"/>
      <c r="J146" s="18" t="str">
        <f aca="false">IF(B146="","",IF(G146="No",IF(I146="Yes","Impaired – interim control",IF(H146="Yes","IMPAIRED – NO INTERIM CONTROL","Impaired – repair")),IF(F146="","Not scheduled",IF(F146&lt;Dashboard!$C$5,"Service overdue",IF(F146-Dashboard!$C$5&lt;=Lists!$R$5,"Due soon","In service")))))</f>
        <v/>
      </c>
      <c r="K146" s="10"/>
      <c r="L146" s="10"/>
    </row>
    <row r="147" customFormat="false" ht="15" hidden="false" customHeight="false" outlineLevel="0" collapsed="false">
      <c r="A147" s="10"/>
      <c r="B147" s="10"/>
      <c r="C147" s="10"/>
      <c r="D147" s="11"/>
      <c r="E147" s="27"/>
      <c r="F147" s="28" t="str">
        <f aca="false">IF(OR(D147="",E147=""),"",D147+E147)</f>
        <v/>
      </c>
      <c r="G147" s="24"/>
      <c r="H147" s="24"/>
      <c r="I147" s="24"/>
      <c r="J147" s="18" t="str">
        <f aca="false">IF(B147="","",IF(G147="No",IF(I147="Yes","Impaired – interim control",IF(H147="Yes","IMPAIRED – NO INTERIM CONTROL","Impaired – repair")),IF(F147="","Not scheduled",IF(F147&lt;Dashboard!$C$5,"Service overdue",IF(F147-Dashboard!$C$5&lt;=Lists!$R$5,"Due soon","In service")))))</f>
        <v/>
      </c>
      <c r="K147" s="10"/>
      <c r="L147" s="10"/>
    </row>
    <row r="148" customFormat="false" ht="15" hidden="false" customHeight="false" outlineLevel="0" collapsed="false">
      <c r="A148" s="10"/>
      <c r="B148" s="10"/>
      <c r="C148" s="10"/>
      <c r="D148" s="11"/>
      <c r="E148" s="27"/>
      <c r="F148" s="28" t="str">
        <f aca="false">IF(OR(D148="",E148=""),"",D148+E148)</f>
        <v/>
      </c>
      <c r="G148" s="24"/>
      <c r="H148" s="24"/>
      <c r="I148" s="24"/>
      <c r="J148" s="18" t="str">
        <f aca="false">IF(B148="","",IF(G148="No",IF(I148="Yes","Impaired – interim control",IF(H148="Yes","IMPAIRED – NO INTERIM CONTROL","Impaired – repair")),IF(F148="","Not scheduled",IF(F148&lt;Dashboard!$C$5,"Service overdue",IF(F148-Dashboard!$C$5&lt;=Lists!$R$5,"Due soon","In service")))))</f>
        <v/>
      </c>
      <c r="K148" s="10"/>
      <c r="L148" s="10"/>
    </row>
    <row r="149" customFormat="false" ht="15" hidden="false" customHeight="false" outlineLevel="0" collapsed="false">
      <c r="A149" s="10"/>
      <c r="B149" s="10"/>
      <c r="C149" s="10"/>
      <c r="D149" s="11"/>
      <c r="E149" s="27"/>
      <c r="F149" s="28" t="str">
        <f aca="false">IF(OR(D149="",E149=""),"",D149+E149)</f>
        <v/>
      </c>
      <c r="G149" s="24"/>
      <c r="H149" s="24"/>
      <c r="I149" s="24"/>
      <c r="J149" s="18" t="str">
        <f aca="false">IF(B149="","",IF(G149="No",IF(I149="Yes","Impaired – interim control",IF(H149="Yes","IMPAIRED – NO INTERIM CONTROL","Impaired – repair")),IF(F149="","Not scheduled",IF(F149&lt;Dashboard!$C$5,"Service overdue",IF(F149-Dashboard!$C$5&lt;=Lists!$R$5,"Due soon","In service")))))</f>
        <v/>
      </c>
      <c r="K149" s="10"/>
      <c r="L149" s="10"/>
    </row>
    <row r="150" customFormat="false" ht="15" hidden="false" customHeight="false" outlineLevel="0" collapsed="false">
      <c r="A150" s="10"/>
      <c r="B150" s="10"/>
      <c r="C150" s="10"/>
      <c r="D150" s="11"/>
      <c r="E150" s="27"/>
      <c r="F150" s="28" t="str">
        <f aca="false">IF(OR(D150="",E150=""),"",D150+E150)</f>
        <v/>
      </c>
      <c r="G150" s="24"/>
      <c r="H150" s="24"/>
      <c r="I150" s="24"/>
      <c r="J150" s="18" t="str">
        <f aca="false">IF(B150="","",IF(G150="No",IF(I150="Yes","Impaired – interim control",IF(H150="Yes","IMPAIRED – NO INTERIM CONTROL","Impaired – repair")),IF(F150="","Not scheduled",IF(F150&lt;Dashboard!$C$5,"Service overdue",IF(F150-Dashboard!$C$5&lt;=Lists!$R$5,"Due soon","In service")))))</f>
        <v/>
      </c>
      <c r="K150" s="10"/>
      <c r="L150" s="10"/>
    </row>
    <row r="151" customFormat="false" ht="15" hidden="false" customHeight="false" outlineLevel="0" collapsed="false">
      <c r="A151" s="10"/>
      <c r="B151" s="10"/>
      <c r="C151" s="10"/>
      <c r="D151" s="11"/>
      <c r="E151" s="27"/>
      <c r="F151" s="28" t="str">
        <f aca="false">IF(OR(D151="",E151=""),"",D151+E151)</f>
        <v/>
      </c>
      <c r="G151" s="24"/>
      <c r="H151" s="24"/>
      <c r="I151" s="24"/>
      <c r="J151" s="18" t="str">
        <f aca="false">IF(B151="","",IF(G151="No",IF(I151="Yes","Impaired – interim control",IF(H151="Yes","IMPAIRED – NO INTERIM CONTROL","Impaired – repair")),IF(F151="","Not scheduled",IF(F151&lt;Dashboard!$C$5,"Service overdue",IF(F151-Dashboard!$C$5&lt;=Lists!$R$5,"Due soon","In service")))))</f>
        <v/>
      </c>
      <c r="K151" s="10"/>
      <c r="L151" s="10"/>
    </row>
    <row r="152" customFormat="false" ht="15" hidden="false" customHeight="false" outlineLevel="0" collapsed="false">
      <c r="A152" s="10"/>
      <c r="B152" s="10"/>
      <c r="C152" s="10"/>
      <c r="D152" s="11"/>
      <c r="E152" s="27"/>
      <c r="F152" s="28" t="str">
        <f aca="false">IF(OR(D152="",E152=""),"",D152+E152)</f>
        <v/>
      </c>
      <c r="G152" s="24"/>
      <c r="H152" s="24"/>
      <c r="I152" s="24"/>
      <c r="J152" s="18" t="str">
        <f aca="false">IF(B152="","",IF(G152="No",IF(I152="Yes","Impaired – interim control",IF(H152="Yes","IMPAIRED – NO INTERIM CONTROL","Impaired – repair")),IF(F152="","Not scheduled",IF(F152&lt;Dashboard!$C$5,"Service overdue",IF(F152-Dashboard!$C$5&lt;=Lists!$R$5,"Due soon","In service")))))</f>
        <v/>
      </c>
      <c r="K152" s="10"/>
      <c r="L152" s="10"/>
    </row>
    <row r="153" customFormat="false" ht="15" hidden="false" customHeight="false" outlineLevel="0" collapsed="false">
      <c r="A153" s="10"/>
      <c r="B153" s="10"/>
      <c r="C153" s="10"/>
      <c r="D153" s="11"/>
      <c r="E153" s="27"/>
      <c r="F153" s="28" t="str">
        <f aca="false">IF(OR(D153="",E153=""),"",D153+E153)</f>
        <v/>
      </c>
      <c r="G153" s="24"/>
      <c r="H153" s="24"/>
      <c r="I153" s="24"/>
      <c r="J153" s="18" t="str">
        <f aca="false">IF(B153="","",IF(G153="No",IF(I153="Yes","Impaired – interim control",IF(H153="Yes","IMPAIRED – NO INTERIM CONTROL","Impaired – repair")),IF(F153="","Not scheduled",IF(F153&lt;Dashboard!$C$5,"Service overdue",IF(F153-Dashboard!$C$5&lt;=Lists!$R$5,"Due soon","In service")))))</f>
        <v/>
      </c>
      <c r="K153" s="10"/>
      <c r="L153" s="10"/>
    </row>
    <row r="154" customFormat="false" ht="15" hidden="false" customHeight="false" outlineLevel="0" collapsed="false">
      <c r="A154" s="10"/>
      <c r="B154" s="10"/>
      <c r="C154" s="10"/>
      <c r="D154" s="11"/>
      <c r="E154" s="27"/>
      <c r="F154" s="28" t="str">
        <f aca="false">IF(OR(D154="",E154=""),"",D154+E154)</f>
        <v/>
      </c>
      <c r="G154" s="24"/>
      <c r="H154" s="24"/>
      <c r="I154" s="24"/>
      <c r="J154" s="18" t="str">
        <f aca="false">IF(B154="","",IF(G154="No",IF(I154="Yes","Impaired – interim control",IF(H154="Yes","IMPAIRED – NO INTERIM CONTROL","Impaired – repair")),IF(F154="","Not scheduled",IF(F154&lt;Dashboard!$C$5,"Service overdue",IF(F154-Dashboard!$C$5&lt;=Lists!$R$5,"Due soon","In service")))))</f>
        <v/>
      </c>
      <c r="K154" s="10"/>
      <c r="L154" s="10"/>
    </row>
  </sheetData>
  <conditionalFormatting sqref="J5:J154">
    <cfRule type="cellIs" priority="2" operator="equal" aboveAverage="0" equalAverage="0" bottom="0" percent="0" rank="0" text="" dxfId="0">
      <formula>"In service"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1">
      <formula>"Not scheduled"</formula>
    </cfRule>
    <cfRule type="cellIs" priority="5" operator="equal" aboveAverage="0" equalAverage="0" bottom="0" percent="0" rank="0" text="" dxfId="1">
      <formula>"Impaired – interim control"</formula>
    </cfRule>
    <cfRule type="cellIs" priority="6" operator="equal" aboveAverage="0" equalAverage="0" bottom="0" percent="0" rank="0" text="" dxfId="1">
      <formula>"Impaired – repair"</formula>
    </cfRule>
    <cfRule type="cellIs" priority="7" operator="equal" aboveAverage="0" equalAverage="0" bottom="0" percent="0" rank="0" text="" dxfId="2">
      <formula>"Service overdue"</formula>
    </cfRule>
    <cfRule type="cellIs" priority="8" operator="equal" aboveAverage="0" equalAverage="0" bottom="0" percent="0" rank="0" text="" dxfId="3">
      <formula>"IMPAIRED – NO INTERIM CONTROL"</formula>
    </cfRule>
  </conditionalFormatting>
  <dataValidations count="3">
    <dataValidation allowBlank="true" error="Please choose a value from the list." errorStyle="stop" errorTitle="Invalid entry" operator="between" showDropDown="false" showErrorMessage="false" showInputMessage="false" sqref="B5:B154" type="list">
      <formula1>Lists!$G$2:$G$10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G5:H15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I5:I154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15" min="6" style="0" width="12"/>
    <col collapsed="false" customWidth="true" hidden="false" outlineLevel="0" max="16" min="16" style="0" width="16"/>
    <col collapsed="false" customWidth="true" hidden="false" outlineLevel="0" max="17" min="17" style="0" width="22"/>
  </cols>
  <sheetData>
    <row r="1" customFormat="false" ht="19.7" hidden="false" customHeight="false" outlineLevel="0" collapsed="false">
      <c r="A1" s="1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323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57.75" hidden="false" customHeight="true" outlineLevel="0" collapsed="false">
      <c r="A4" s="12" t="s">
        <v>324</v>
      </c>
      <c r="B4" s="12" t="s">
        <v>325</v>
      </c>
      <c r="C4" s="12" t="s">
        <v>255</v>
      </c>
      <c r="D4" s="12" t="s">
        <v>326</v>
      </c>
      <c r="E4" s="12" t="s">
        <v>327</v>
      </c>
      <c r="F4" s="12" t="s">
        <v>328</v>
      </c>
      <c r="G4" s="12" t="s">
        <v>329</v>
      </c>
      <c r="H4" s="12" t="s">
        <v>330</v>
      </c>
      <c r="I4" s="12" t="s">
        <v>331</v>
      </c>
      <c r="J4" s="12" t="s">
        <v>332</v>
      </c>
      <c r="K4" s="12" t="s">
        <v>333</v>
      </c>
      <c r="L4" s="12" t="s">
        <v>334</v>
      </c>
      <c r="M4" s="12" t="s">
        <v>335</v>
      </c>
      <c r="N4" s="12" t="s">
        <v>336</v>
      </c>
      <c r="O4" s="12" t="s">
        <v>337</v>
      </c>
      <c r="P4" s="12" t="s">
        <v>338</v>
      </c>
      <c r="Q4" s="12" t="s">
        <v>339</v>
      </c>
    </row>
    <row r="5" customFormat="false" ht="26.85" hidden="false" customHeight="false" outlineLevel="0" collapsed="false">
      <c r="A5" s="10" t="s">
        <v>340</v>
      </c>
      <c r="B5" s="11" t="n">
        <v>46291</v>
      </c>
      <c r="C5" s="10" t="s">
        <v>286</v>
      </c>
      <c r="D5" s="10" t="s">
        <v>341</v>
      </c>
      <c r="E5" s="10" t="s">
        <v>342</v>
      </c>
      <c r="F5" s="24" t="s">
        <v>209</v>
      </c>
      <c r="G5" s="24" t="s">
        <v>209</v>
      </c>
      <c r="H5" s="24" t="s">
        <v>209</v>
      </c>
      <c r="I5" s="24" t="s">
        <v>209</v>
      </c>
      <c r="J5" s="24" t="s">
        <v>209</v>
      </c>
      <c r="K5" s="24" t="s">
        <v>209</v>
      </c>
      <c r="L5" s="24" t="s">
        <v>209</v>
      </c>
      <c r="M5" s="24" t="s">
        <v>209</v>
      </c>
      <c r="N5" s="24" t="s">
        <v>209</v>
      </c>
      <c r="O5" s="24" t="s">
        <v>209</v>
      </c>
      <c r="P5" s="18" t="str">
        <f aca="false">IF(C5="","",IF(COUNTIF(F5:M5,"No")&gt;0,"Conditions NOT met",IF(COUNTBLANK(F5:M5)&gt;0,"Incomplete","All conditions met")))</f>
        <v>All conditions met</v>
      </c>
      <c r="Q5" s="18" t="str">
        <f aca="false">IF(C5="","",IF(P5="Conditions NOT met","STOP – do not permit",IF(P5="Incomplete","Not authorized – complete checks",IF(AND(N5="Yes",O5="Yes"),"Closed","Authorized – open"))))</f>
        <v>Closed</v>
      </c>
    </row>
    <row r="6" customFormat="false" ht="26.85" hidden="false" customHeight="false" outlineLevel="0" collapsed="false">
      <c r="A6" s="10" t="s">
        <v>343</v>
      </c>
      <c r="B6" s="11" t="n">
        <v>46303</v>
      </c>
      <c r="C6" s="10" t="s">
        <v>344</v>
      </c>
      <c r="D6" s="10" t="s">
        <v>345</v>
      </c>
      <c r="E6" s="10" t="s">
        <v>346</v>
      </c>
      <c r="F6" s="24" t="s">
        <v>209</v>
      </c>
      <c r="G6" s="24" t="s">
        <v>209</v>
      </c>
      <c r="H6" s="24" t="s">
        <v>209</v>
      </c>
      <c r="I6" s="24" t="s">
        <v>209</v>
      </c>
      <c r="J6" s="24" t="s">
        <v>209</v>
      </c>
      <c r="K6" s="24" t="s">
        <v>209</v>
      </c>
      <c r="L6" s="24" t="s">
        <v>209</v>
      </c>
      <c r="M6" s="24" t="s">
        <v>209</v>
      </c>
      <c r="N6" s="24"/>
      <c r="O6" s="24"/>
      <c r="P6" s="18" t="str">
        <f aca="false">IF(C6="","",IF(COUNTIF(F6:M6,"No")&gt;0,"Conditions NOT met",IF(COUNTBLANK(F6:M6)&gt;0,"Incomplete","All conditions met")))</f>
        <v>All conditions met</v>
      </c>
      <c r="Q6" s="18" t="str">
        <f aca="false">IF(C6="","",IF(P6="Conditions NOT met","STOP – do not permit",IF(P6="Incomplete","Not authorized – complete checks",IF(AND(N6="Yes",O6="Yes"),"Closed","Authorized – open"))))</f>
        <v>Authorized – open</v>
      </c>
    </row>
    <row r="7" customFormat="false" ht="26.85" hidden="false" customHeight="false" outlineLevel="0" collapsed="false">
      <c r="A7" s="10" t="s">
        <v>347</v>
      </c>
      <c r="B7" s="11" t="n">
        <v>46304</v>
      </c>
      <c r="C7" s="10" t="s">
        <v>348</v>
      </c>
      <c r="D7" s="10" t="s">
        <v>349</v>
      </c>
      <c r="E7" s="10" t="s">
        <v>350</v>
      </c>
      <c r="F7" s="24" t="s">
        <v>209</v>
      </c>
      <c r="G7" s="24" t="s">
        <v>209</v>
      </c>
      <c r="H7" s="24" t="s">
        <v>195</v>
      </c>
      <c r="I7" s="24" t="s">
        <v>209</v>
      </c>
      <c r="J7" s="24" t="s">
        <v>209</v>
      </c>
      <c r="K7" s="24" t="s">
        <v>202</v>
      </c>
      <c r="L7" s="24" t="s">
        <v>209</v>
      </c>
      <c r="M7" s="24" t="s">
        <v>202</v>
      </c>
      <c r="N7" s="24"/>
      <c r="O7" s="24"/>
      <c r="P7" s="18" t="str">
        <f aca="false">IF(C7="","",IF(COUNTIF(F7:M7,"No")&gt;0,"Conditions NOT met",IF(COUNTBLANK(F7:M7)&gt;0,"Incomplete","All conditions met")))</f>
        <v>Conditions NOT met</v>
      </c>
      <c r="Q7" s="18" t="str">
        <f aca="false">IF(C7="","",IF(P7="Conditions NOT met","STOP – do not permit",IF(P7="Incomplete","Not authorized – complete checks",IF(AND(N7="Yes",O7="Yes"),"Closed","Authorized – open"))))</f>
        <v>STOP – do not permit</v>
      </c>
    </row>
    <row r="8" customFormat="false" ht="15" hidden="false" customHeight="false" outlineLevel="0" collapsed="false">
      <c r="A8" s="10"/>
      <c r="B8" s="11"/>
      <c r="C8" s="10"/>
      <c r="D8" s="10"/>
      <c r="E8" s="10"/>
      <c r="F8" s="24"/>
      <c r="G8" s="24"/>
      <c r="H8" s="24"/>
      <c r="I8" s="24"/>
      <c r="J8" s="24"/>
      <c r="K8" s="24"/>
      <c r="L8" s="24"/>
      <c r="M8" s="24"/>
      <c r="N8" s="24"/>
      <c r="O8" s="24"/>
      <c r="P8" s="18" t="str">
        <f aca="false">IF(C8="","",IF(COUNTIF(F8:M8,"No")&gt;0,"Conditions NOT met",IF(COUNTBLANK(F8:M8)&gt;0,"Incomplete","All conditions met")))</f>
        <v/>
      </c>
      <c r="Q8" s="18" t="str">
        <f aca="false">IF(C8="","",IF(P8="Conditions NOT met","STOP – do not permit",IF(P8="Incomplete","Not authorized – complete checks",IF(AND(N8="Yes",O8="Yes"),"Closed","Authorized – open"))))</f>
        <v/>
      </c>
    </row>
    <row r="9" customFormat="false" ht="15" hidden="false" customHeight="false" outlineLevel="0" collapsed="false">
      <c r="A9" s="10"/>
      <c r="B9" s="11"/>
      <c r="C9" s="10"/>
      <c r="D9" s="10"/>
      <c r="E9" s="10"/>
      <c r="F9" s="24"/>
      <c r="G9" s="24"/>
      <c r="H9" s="24"/>
      <c r="I9" s="24"/>
      <c r="J9" s="24"/>
      <c r="K9" s="24"/>
      <c r="L9" s="24"/>
      <c r="M9" s="24"/>
      <c r="N9" s="24"/>
      <c r="O9" s="24"/>
      <c r="P9" s="18" t="str">
        <f aca="false">IF(C9="","",IF(COUNTIF(F9:M9,"No")&gt;0,"Conditions NOT met",IF(COUNTBLANK(F9:M9)&gt;0,"Incomplete","All conditions met")))</f>
        <v/>
      </c>
      <c r="Q9" s="18" t="str">
        <f aca="false">IF(C9="","",IF(P9="Conditions NOT met","STOP – do not permit",IF(P9="Incomplete","Not authorized – complete checks",IF(AND(N9="Yes",O9="Yes"),"Closed","Authorized – open"))))</f>
        <v/>
      </c>
    </row>
    <row r="10" customFormat="false" ht="15" hidden="false" customHeight="false" outlineLevel="0" collapsed="false">
      <c r="A10" s="10"/>
      <c r="B10" s="11"/>
      <c r="C10" s="10"/>
      <c r="D10" s="10"/>
      <c r="E10" s="10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18" t="str">
        <f aca="false">IF(C10="","",IF(COUNTIF(F10:M10,"No")&gt;0,"Conditions NOT met",IF(COUNTBLANK(F10:M10)&gt;0,"Incomplete","All conditions met")))</f>
        <v/>
      </c>
      <c r="Q10" s="18" t="str">
        <f aca="false">IF(C10="","",IF(P10="Conditions NOT met","STOP – do not permit",IF(P10="Incomplete","Not authorized – complete checks",IF(AND(N10="Yes",O10="Yes"),"Closed","Authorized – open"))))</f>
        <v/>
      </c>
    </row>
    <row r="11" customFormat="false" ht="15" hidden="false" customHeight="false" outlineLevel="0" collapsed="false">
      <c r="A11" s="10"/>
      <c r="B11" s="11"/>
      <c r="C11" s="10"/>
      <c r="D11" s="10"/>
      <c r="E11" s="10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18" t="str">
        <f aca="false">IF(C11="","",IF(COUNTIF(F11:M11,"No")&gt;0,"Conditions NOT met",IF(COUNTBLANK(F11:M11)&gt;0,"Incomplete","All conditions met")))</f>
        <v/>
      </c>
      <c r="Q11" s="18" t="str">
        <f aca="false">IF(C11="","",IF(P11="Conditions NOT met","STOP – do not permit",IF(P11="Incomplete","Not authorized – complete checks",IF(AND(N11="Yes",O11="Yes"),"Closed","Authorized – open"))))</f>
        <v/>
      </c>
    </row>
    <row r="12" customFormat="false" ht="15" hidden="false" customHeight="false" outlineLevel="0" collapsed="false">
      <c r="A12" s="10"/>
      <c r="B12" s="11"/>
      <c r="C12" s="10"/>
      <c r="D12" s="10"/>
      <c r="E12" s="10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18" t="str">
        <f aca="false">IF(C12="","",IF(COUNTIF(F12:M12,"No")&gt;0,"Conditions NOT met",IF(COUNTBLANK(F12:M12)&gt;0,"Incomplete","All conditions met")))</f>
        <v/>
      </c>
      <c r="Q12" s="18" t="str">
        <f aca="false">IF(C12="","",IF(P12="Conditions NOT met","STOP – do not permit",IF(P12="Incomplete","Not authorized – complete checks",IF(AND(N12="Yes",O12="Yes"),"Closed","Authorized – open"))))</f>
        <v/>
      </c>
    </row>
    <row r="13" customFormat="false" ht="15" hidden="false" customHeight="false" outlineLevel="0" collapsed="false">
      <c r="A13" s="10"/>
      <c r="B13" s="11"/>
      <c r="C13" s="10"/>
      <c r="D13" s="10"/>
      <c r="E13" s="10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18" t="str">
        <f aca="false">IF(C13="","",IF(COUNTIF(F13:M13,"No")&gt;0,"Conditions NOT met",IF(COUNTBLANK(F13:M13)&gt;0,"Incomplete","All conditions met")))</f>
        <v/>
      </c>
      <c r="Q13" s="18" t="str">
        <f aca="false">IF(C13="","",IF(P13="Conditions NOT met","STOP – do not permit",IF(P13="Incomplete","Not authorized – complete checks",IF(AND(N13="Yes",O13="Yes"),"Closed","Authorized – open"))))</f>
        <v/>
      </c>
    </row>
    <row r="14" customFormat="false" ht="15" hidden="false" customHeight="false" outlineLevel="0" collapsed="false">
      <c r="A14" s="10"/>
      <c r="B14" s="11"/>
      <c r="C14" s="10"/>
      <c r="D14" s="10"/>
      <c r="E14" s="10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8" t="str">
        <f aca="false">IF(C14="","",IF(COUNTIF(F14:M14,"No")&gt;0,"Conditions NOT met",IF(COUNTBLANK(F14:M14)&gt;0,"Incomplete","All conditions met")))</f>
        <v/>
      </c>
      <c r="Q14" s="18" t="str">
        <f aca="false">IF(C14="","",IF(P14="Conditions NOT met","STOP – do not permit",IF(P14="Incomplete","Not authorized – complete checks",IF(AND(N14="Yes",O14="Yes"),"Closed","Authorized – open"))))</f>
        <v/>
      </c>
    </row>
    <row r="15" customFormat="false" ht="15" hidden="false" customHeight="false" outlineLevel="0" collapsed="false">
      <c r="A15" s="10"/>
      <c r="B15" s="11"/>
      <c r="C15" s="10"/>
      <c r="D15" s="10"/>
      <c r="E15" s="10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8" t="str">
        <f aca="false">IF(C15="","",IF(COUNTIF(F15:M15,"No")&gt;0,"Conditions NOT met",IF(COUNTBLANK(F15:M15)&gt;0,"Incomplete","All conditions met")))</f>
        <v/>
      </c>
      <c r="Q15" s="18" t="str">
        <f aca="false">IF(C15="","",IF(P15="Conditions NOT met","STOP – do not permit",IF(P15="Incomplete","Not authorized – complete checks",IF(AND(N15="Yes",O15="Yes"),"Closed","Authorized – open"))))</f>
        <v/>
      </c>
    </row>
    <row r="16" customFormat="false" ht="15" hidden="false" customHeight="false" outlineLevel="0" collapsed="false">
      <c r="A16" s="10"/>
      <c r="B16" s="11"/>
      <c r="C16" s="10"/>
      <c r="D16" s="10"/>
      <c r="E16" s="10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18" t="str">
        <f aca="false">IF(C16="","",IF(COUNTIF(F16:M16,"No")&gt;0,"Conditions NOT met",IF(COUNTBLANK(F16:M16)&gt;0,"Incomplete","All conditions met")))</f>
        <v/>
      </c>
      <c r="Q16" s="18" t="str">
        <f aca="false">IF(C16="","",IF(P16="Conditions NOT met","STOP – do not permit",IF(P16="Incomplete","Not authorized – complete checks",IF(AND(N16="Yes",O16="Yes"),"Closed","Authorized – open"))))</f>
        <v/>
      </c>
    </row>
    <row r="17" customFormat="false" ht="15" hidden="false" customHeight="false" outlineLevel="0" collapsed="false">
      <c r="A17" s="10"/>
      <c r="B17" s="11"/>
      <c r="C17" s="10"/>
      <c r="D17" s="10"/>
      <c r="E17" s="10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18" t="str">
        <f aca="false">IF(C17="","",IF(COUNTIF(F17:M17,"No")&gt;0,"Conditions NOT met",IF(COUNTBLANK(F17:M17)&gt;0,"Incomplete","All conditions met")))</f>
        <v/>
      </c>
      <c r="Q17" s="18" t="str">
        <f aca="false">IF(C17="","",IF(P17="Conditions NOT met","STOP – do not permit",IF(P17="Incomplete","Not authorized – complete checks",IF(AND(N17="Yes",O17="Yes"),"Closed","Authorized – open"))))</f>
        <v/>
      </c>
    </row>
    <row r="18" customFormat="false" ht="15" hidden="false" customHeight="false" outlineLevel="0" collapsed="false">
      <c r="A18" s="10"/>
      <c r="B18" s="11"/>
      <c r="C18" s="10"/>
      <c r="D18" s="10"/>
      <c r="E18" s="10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18" t="str">
        <f aca="false">IF(C18="","",IF(COUNTIF(F18:M18,"No")&gt;0,"Conditions NOT met",IF(COUNTBLANK(F18:M18)&gt;0,"Incomplete","All conditions met")))</f>
        <v/>
      </c>
      <c r="Q18" s="18" t="str">
        <f aca="false">IF(C18="","",IF(P18="Conditions NOT met","STOP – do not permit",IF(P18="Incomplete","Not authorized – complete checks",IF(AND(N18="Yes",O18="Yes"),"Closed","Authorized – open"))))</f>
        <v/>
      </c>
    </row>
    <row r="19" customFormat="false" ht="15" hidden="false" customHeight="false" outlineLevel="0" collapsed="false">
      <c r="A19" s="10"/>
      <c r="B19" s="11"/>
      <c r="C19" s="10"/>
      <c r="D19" s="10"/>
      <c r="E19" s="10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18" t="str">
        <f aca="false">IF(C19="","",IF(COUNTIF(F19:M19,"No")&gt;0,"Conditions NOT met",IF(COUNTBLANK(F19:M19)&gt;0,"Incomplete","All conditions met")))</f>
        <v/>
      </c>
      <c r="Q19" s="18" t="str">
        <f aca="false">IF(C19="","",IF(P19="Conditions NOT met","STOP – do not permit",IF(P19="Incomplete","Not authorized – complete checks",IF(AND(N19="Yes",O19="Yes"),"Closed","Authorized – open"))))</f>
        <v/>
      </c>
    </row>
    <row r="20" customFormat="false" ht="15" hidden="false" customHeight="false" outlineLevel="0" collapsed="false">
      <c r="A20" s="10"/>
      <c r="B20" s="11"/>
      <c r="C20" s="10"/>
      <c r="D20" s="10"/>
      <c r="E20" s="10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18" t="str">
        <f aca="false">IF(C20="","",IF(COUNTIF(F20:M20,"No")&gt;0,"Conditions NOT met",IF(COUNTBLANK(F20:M20)&gt;0,"Incomplete","All conditions met")))</f>
        <v/>
      </c>
      <c r="Q20" s="18" t="str">
        <f aca="false">IF(C20="","",IF(P20="Conditions NOT met","STOP – do not permit",IF(P20="Incomplete","Not authorized – complete checks",IF(AND(N20="Yes",O20="Yes"),"Closed","Authorized – open"))))</f>
        <v/>
      </c>
    </row>
    <row r="21" customFormat="false" ht="15" hidden="false" customHeight="false" outlineLevel="0" collapsed="false">
      <c r="A21" s="10"/>
      <c r="B21" s="11"/>
      <c r="C21" s="10"/>
      <c r="D21" s="10"/>
      <c r="E21" s="10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18" t="str">
        <f aca="false">IF(C21="","",IF(COUNTIF(F21:M21,"No")&gt;0,"Conditions NOT met",IF(COUNTBLANK(F21:M21)&gt;0,"Incomplete","All conditions met")))</f>
        <v/>
      </c>
      <c r="Q21" s="18" t="str">
        <f aca="false">IF(C21="","",IF(P21="Conditions NOT met","STOP – do not permit",IF(P21="Incomplete","Not authorized – complete checks",IF(AND(N21="Yes",O21="Yes"),"Closed","Authorized – open"))))</f>
        <v/>
      </c>
    </row>
    <row r="22" customFormat="false" ht="15" hidden="false" customHeight="false" outlineLevel="0" collapsed="false">
      <c r="A22" s="10"/>
      <c r="B22" s="11"/>
      <c r="C22" s="10"/>
      <c r="D22" s="10"/>
      <c r="E22" s="10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18" t="str">
        <f aca="false">IF(C22="","",IF(COUNTIF(F22:M22,"No")&gt;0,"Conditions NOT met",IF(COUNTBLANK(F22:M22)&gt;0,"Incomplete","All conditions met")))</f>
        <v/>
      </c>
      <c r="Q22" s="18" t="str">
        <f aca="false">IF(C22="","",IF(P22="Conditions NOT met","STOP – do not permit",IF(P22="Incomplete","Not authorized – complete checks",IF(AND(N22="Yes",O22="Yes"),"Closed","Authorized – open"))))</f>
        <v/>
      </c>
    </row>
    <row r="23" customFormat="false" ht="15" hidden="false" customHeight="false" outlineLevel="0" collapsed="false">
      <c r="A23" s="10"/>
      <c r="B23" s="11"/>
      <c r="C23" s="10"/>
      <c r="D23" s="10"/>
      <c r="E23" s="10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18" t="str">
        <f aca="false">IF(C23="","",IF(COUNTIF(F23:M23,"No")&gt;0,"Conditions NOT met",IF(COUNTBLANK(F23:M23)&gt;0,"Incomplete","All conditions met")))</f>
        <v/>
      </c>
      <c r="Q23" s="18" t="str">
        <f aca="false">IF(C23="","",IF(P23="Conditions NOT met","STOP – do not permit",IF(P23="Incomplete","Not authorized – complete checks",IF(AND(N23="Yes",O23="Yes"),"Closed","Authorized – open"))))</f>
        <v/>
      </c>
    </row>
    <row r="24" customFormat="false" ht="15" hidden="false" customHeight="false" outlineLevel="0" collapsed="false">
      <c r="A24" s="10"/>
      <c r="B24" s="11"/>
      <c r="C24" s="10"/>
      <c r="D24" s="10"/>
      <c r="E24" s="10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8" t="str">
        <f aca="false">IF(C24="","",IF(COUNTIF(F24:M24,"No")&gt;0,"Conditions NOT met",IF(COUNTBLANK(F24:M24)&gt;0,"Incomplete","All conditions met")))</f>
        <v/>
      </c>
      <c r="Q24" s="18" t="str">
        <f aca="false">IF(C24="","",IF(P24="Conditions NOT met","STOP – do not permit",IF(P24="Incomplete","Not authorized – complete checks",IF(AND(N24="Yes",O24="Yes"),"Closed","Authorized – open"))))</f>
        <v/>
      </c>
    </row>
    <row r="25" customFormat="false" ht="15" hidden="false" customHeight="false" outlineLevel="0" collapsed="false">
      <c r="A25" s="10"/>
      <c r="B25" s="11"/>
      <c r="C25" s="10"/>
      <c r="D25" s="10"/>
      <c r="E25" s="10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18" t="str">
        <f aca="false">IF(C25="","",IF(COUNTIF(F25:M25,"No")&gt;0,"Conditions NOT met",IF(COUNTBLANK(F25:M25)&gt;0,"Incomplete","All conditions met")))</f>
        <v/>
      </c>
      <c r="Q25" s="18" t="str">
        <f aca="false">IF(C25="","",IF(P25="Conditions NOT met","STOP – do not permit",IF(P25="Incomplete","Not authorized – complete checks",IF(AND(N25="Yes",O25="Yes"),"Closed","Authorized – open"))))</f>
        <v/>
      </c>
    </row>
    <row r="26" customFormat="false" ht="15" hidden="false" customHeight="false" outlineLevel="0" collapsed="false">
      <c r="A26" s="10"/>
      <c r="B26" s="11"/>
      <c r="C26" s="10"/>
      <c r="D26" s="10"/>
      <c r="E26" s="10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18" t="str">
        <f aca="false">IF(C26="","",IF(COUNTIF(F26:M26,"No")&gt;0,"Conditions NOT met",IF(COUNTBLANK(F26:M26)&gt;0,"Incomplete","All conditions met")))</f>
        <v/>
      </c>
      <c r="Q26" s="18" t="str">
        <f aca="false">IF(C26="","",IF(P26="Conditions NOT met","STOP – do not permit",IF(P26="Incomplete","Not authorized – complete checks",IF(AND(N26="Yes",O26="Yes"),"Closed","Authorized – open"))))</f>
        <v/>
      </c>
    </row>
    <row r="27" customFormat="false" ht="15" hidden="false" customHeight="false" outlineLevel="0" collapsed="false">
      <c r="A27" s="10"/>
      <c r="B27" s="11"/>
      <c r="C27" s="10"/>
      <c r="D27" s="10"/>
      <c r="E27" s="10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18" t="str">
        <f aca="false">IF(C27="","",IF(COUNTIF(F27:M27,"No")&gt;0,"Conditions NOT met",IF(COUNTBLANK(F27:M27)&gt;0,"Incomplete","All conditions met")))</f>
        <v/>
      </c>
      <c r="Q27" s="18" t="str">
        <f aca="false">IF(C27="","",IF(P27="Conditions NOT met","STOP – do not permit",IF(P27="Incomplete","Not authorized – complete checks",IF(AND(N27="Yes",O27="Yes"),"Closed","Authorized – open"))))</f>
        <v/>
      </c>
    </row>
    <row r="28" customFormat="false" ht="15" hidden="false" customHeight="false" outlineLevel="0" collapsed="false">
      <c r="A28" s="10"/>
      <c r="B28" s="11"/>
      <c r="C28" s="10"/>
      <c r="D28" s="10"/>
      <c r="E28" s="10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18" t="str">
        <f aca="false">IF(C28="","",IF(COUNTIF(F28:M28,"No")&gt;0,"Conditions NOT met",IF(COUNTBLANK(F28:M28)&gt;0,"Incomplete","All conditions met")))</f>
        <v/>
      </c>
      <c r="Q28" s="18" t="str">
        <f aca="false">IF(C28="","",IF(P28="Conditions NOT met","STOP – do not permit",IF(P28="Incomplete","Not authorized – complete checks",IF(AND(N28="Yes",O28="Yes"),"Closed","Authorized – open"))))</f>
        <v/>
      </c>
    </row>
    <row r="29" customFormat="false" ht="15" hidden="false" customHeight="false" outlineLevel="0" collapsed="false">
      <c r="A29" s="10"/>
      <c r="B29" s="11"/>
      <c r="C29" s="10"/>
      <c r="D29" s="10"/>
      <c r="E29" s="10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18" t="str">
        <f aca="false">IF(C29="","",IF(COUNTIF(F29:M29,"No")&gt;0,"Conditions NOT met",IF(COUNTBLANK(F29:M29)&gt;0,"Incomplete","All conditions met")))</f>
        <v/>
      </c>
      <c r="Q29" s="18" t="str">
        <f aca="false">IF(C29="","",IF(P29="Conditions NOT met","STOP – do not permit",IF(P29="Incomplete","Not authorized – complete checks",IF(AND(N29="Yes",O29="Yes"),"Closed","Authorized – open"))))</f>
        <v/>
      </c>
    </row>
    <row r="30" customFormat="false" ht="15" hidden="false" customHeight="false" outlineLevel="0" collapsed="false">
      <c r="A30" s="10"/>
      <c r="B30" s="11"/>
      <c r="C30" s="10"/>
      <c r="D30" s="10"/>
      <c r="E30" s="10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18" t="str">
        <f aca="false">IF(C30="","",IF(COUNTIF(F30:M30,"No")&gt;0,"Conditions NOT met",IF(COUNTBLANK(F30:M30)&gt;0,"Incomplete","All conditions met")))</f>
        <v/>
      </c>
      <c r="Q30" s="18" t="str">
        <f aca="false">IF(C30="","",IF(P30="Conditions NOT met","STOP – do not permit",IF(P30="Incomplete","Not authorized – complete checks",IF(AND(N30="Yes",O30="Yes"),"Closed","Authorized – open"))))</f>
        <v/>
      </c>
    </row>
    <row r="31" customFormat="false" ht="15" hidden="false" customHeight="false" outlineLevel="0" collapsed="false">
      <c r="A31" s="10"/>
      <c r="B31" s="11"/>
      <c r="C31" s="10"/>
      <c r="D31" s="10"/>
      <c r="E31" s="10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18" t="str">
        <f aca="false">IF(C31="","",IF(COUNTIF(F31:M31,"No")&gt;0,"Conditions NOT met",IF(COUNTBLANK(F31:M31)&gt;0,"Incomplete","All conditions met")))</f>
        <v/>
      </c>
      <c r="Q31" s="18" t="str">
        <f aca="false">IF(C31="","",IF(P31="Conditions NOT met","STOP – do not permit",IF(P31="Incomplete","Not authorized – complete checks",IF(AND(N31="Yes",O31="Yes"),"Closed","Authorized – open"))))</f>
        <v/>
      </c>
    </row>
    <row r="32" customFormat="false" ht="15" hidden="false" customHeight="false" outlineLevel="0" collapsed="false">
      <c r="A32" s="10"/>
      <c r="B32" s="11"/>
      <c r="C32" s="10"/>
      <c r="D32" s="10"/>
      <c r="E32" s="10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18" t="str">
        <f aca="false">IF(C32="","",IF(COUNTIF(F32:M32,"No")&gt;0,"Conditions NOT met",IF(COUNTBLANK(F32:M32)&gt;0,"Incomplete","All conditions met")))</f>
        <v/>
      </c>
      <c r="Q32" s="18" t="str">
        <f aca="false">IF(C32="","",IF(P32="Conditions NOT met","STOP – do not permit",IF(P32="Incomplete","Not authorized – complete checks",IF(AND(N32="Yes",O32="Yes"),"Closed","Authorized – open"))))</f>
        <v/>
      </c>
    </row>
    <row r="33" customFormat="false" ht="15" hidden="false" customHeight="false" outlineLevel="0" collapsed="false">
      <c r="A33" s="10"/>
      <c r="B33" s="11"/>
      <c r="C33" s="10"/>
      <c r="D33" s="10"/>
      <c r="E33" s="10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18" t="str">
        <f aca="false">IF(C33="","",IF(COUNTIF(F33:M33,"No")&gt;0,"Conditions NOT met",IF(COUNTBLANK(F33:M33)&gt;0,"Incomplete","All conditions met")))</f>
        <v/>
      </c>
      <c r="Q33" s="18" t="str">
        <f aca="false">IF(C33="","",IF(P33="Conditions NOT met","STOP – do not permit",IF(P33="Incomplete","Not authorized – complete checks",IF(AND(N33="Yes",O33="Yes"),"Closed","Authorized – open"))))</f>
        <v/>
      </c>
    </row>
    <row r="34" customFormat="false" ht="15" hidden="false" customHeight="false" outlineLevel="0" collapsed="false">
      <c r="A34" s="10"/>
      <c r="B34" s="11"/>
      <c r="C34" s="10"/>
      <c r="D34" s="10"/>
      <c r="E34" s="10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18" t="str">
        <f aca="false">IF(C34="","",IF(COUNTIF(F34:M34,"No")&gt;0,"Conditions NOT met",IF(COUNTBLANK(F34:M34)&gt;0,"Incomplete","All conditions met")))</f>
        <v/>
      </c>
      <c r="Q34" s="18" t="str">
        <f aca="false">IF(C34="","",IF(P34="Conditions NOT met","STOP – do not permit",IF(P34="Incomplete","Not authorized – complete checks",IF(AND(N34="Yes",O34="Yes"),"Closed","Authorized – open"))))</f>
        <v/>
      </c>
    </row>
    <row r="35" customFormat="false" ht="15" hidden="false" customHeight="false" outlineLevel="0" collapsed="false">
      <c r="A35" s="10"/>
      <c r="B35" s="11"/>
      <c r="C35" s="10"/>
      <c r="D35" s="10"/>
      <c r="E35" s="10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18" t="str">
        <f aca="false">IF(C35="","",IF(COUNTIF(F35:M35,"No")&gt;0,"Conditions NOT met",IF(COUNTBLANK(F35:M35)&gt;0,"Incomplete","All conditions met")))</f>
        <v/>
      </c>
      <c r="Q35" s="18" t="str">
        <f aca="false">IF(C35="","",IF(P35="Conditions NOT met","STOP – do not permit",IF(P35="Incomplete","Not authorized – complete checks",IF(AND(N35="Yes",O35="Yes"),"Closed","Authorized – open"))))</f>
        <v/>
      </c>
    </row>
    <row r="36" customFormat="false" ht="15" hidden="false" customHeight="false" outlineLevel="0" collapsed="false">
      <c r="A36" s="10"/>
      <c r="B36" s="11"/>
      <c r="C36" s="10"/>
      <c r="D36" s="10"/>
      <c r="E36" s="10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18" t="str">
        <f aca="false">IF(C36="","",IF(COUNTIF(F36:M36,"No")&gt;0,"Conditions NOT met",IF(COUNTBLANK(F36:M36)&gt;0,"Incomplete","All conditions met")))</f>
        <v/>
      </c>
      <c r="Q36" s="18" t="str">
        <f aca="false">IF(C36="","",IF(P36="Conditions NOT met","STOP – do not permit",IF(P36="Incomplete","Not authorized – complete checks",IF(AND(N36="Yes",O36="Yes"),"Closed","Authorized – open"))))</f>
        <v/>
      </c>
    </row>
    <row r="37" customFormat="false" ht="15" hidden="false" customHeight="false" outlineLevel="0" collapsed="false">
      <c r="A37" s="10"/>
      <c r="B37" s="11"/>
      <c r="C37" s="10"/>
      <c r="D37" s="10"/>
      <c r="E37" s="10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18" t="str">
        <f aca="false">IF(C37="","",IF(COUNTIF(F37:M37,"No")&gt;0,"Conditions NOT met",IF(COUNTBLANK(F37:M37)&gt;0,"Incomplete","All conditions met")))</f>
        <v/>
      </c>
      <c r="Q37" s="18" t="str">
        <f aca="false">IF(C37="","",IF(P37="Conditions NOT met","STOP – do not permit",IF(P37="Incomplete","Not authorized – complete checks",IF(AND(N37="Yes",O37="Yes"),"Closed","Authorized – open"))))</f>
        <v/>
      </c>
    </row>
    <row r="38" customFormat="false" ht="15" hidden="false" customHeight="false" outlineLevel="0" collapsed="false">
      <c r="A38" s="10"/>
      <c r="B38" s="11"/>
      <c r="C38" s="10"/>
      <c r="D38" s="10"/>
      <c r="E38" s="10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18" t="str">
        <f aca="false">IF(C38="","",IF(COUNTIF(F38:M38,"No")&gt;0,"Conditions NOT met",IF(COUNTBLANK(F38:M38)&gt;0,"Incomplete","All conditions met")))</f>
        <v/>
      </c>
      <c r="Q38" s="18" t="str">
        <f aca="false">IF(C38="","",IF(P38="Conditions NOT met","STOP – do not permit",IF(P38="Incomplete","Not authorized – complete checks",IF(AND(N38="Yes",O38="Yes"),"Closed","Authorized – open"))))</f>
        <v/>
      </c>
    </row>
    <row r="39" customFormat="false" ht="15" hidden="false" customHeight="false" outlineLevel="0" collapsed="false">
      <c r="A39" s="10"/>
      <c r="B39" s="11"/>
      <c r="C39" s="10"/>
      <c r="D39" s="10"/>
      <c r="E39" s="10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18" t="str">
        <f aca="false">IF(C39="","",IF(COUNTIF(F39:M39,"No")&gt;0,"Conditions NOT met",IF(COUNTBLANK(F39:M39)&gt;0,"Incomplete","All conditions met")))</f>
        <v/>
      </c>
      <c r="Q39" s="18" t="str">
        <f aca="false">IF(C39="","",IF(P39="Conditions NOT met","STOP – do not permit",IF(P39="Incomplete","Not authorized – complete checks",IF(AND(N39="Yes",O39="Yes"),"Closed","Authorized – open"))))</f>
        <v/>
      </c>
    </row>
    <row r="40" customFormat="false" ht="15" hidden="false" customHeight="false" outlineLevel="0" collapsed="false">
      <c r="A40" s="10"/>
      <c r="B40" s="11"/>
      <c r="C40" s="10"/>
      <c r="D40" s="10"/>
      <c r="E40" s="10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18" t="str">
        <f aca="false">IF(C40="","",IF(COUNTIF(F40:M40,"No")&gt;0,"Conditions NOT met",IF(COUNTBLANK(F40:M40)&gt;0,"Incomplete","All conditions met")))</f>
        <v/>
      </c>
      <c r="Q40" s="18" t="str">
        <f aca="false">IF(C40="","",IF(P40="Conditions NOT met","STOP – do not permit",IF(P40="Incomplete","Not authorized – complete checks",IF(AND(N40="Yes",O40="Yes"),"Closed","Authorized – open"))))</f>
        <v/>
      </c>
    </row>
    <row r="41" customFormat="false" ht="15" hidden="false" customHeight="false" outlineLevel="0" collapsed="false">
      <c r="A41" s="10"/>
      <c r="B41" s="11"/>
      <c r="C41" s="10"/>
      <c r="D41" s="10"/>
      <c r="E41" s="10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18" t="str">
        <f aca="false">IF(C41="","",IF(COUNTIF(F41:M41,"No")&gt;0,"Conditions NOT met",IF(COUNTBLANK(F41:M41)&gt;0,"Incomplete","All conditions met")))</f>
        <v/>
      </c>
      <c r="Q41" s="18" t="str">
        <f aca="false">IF(C41="","",IF(P41="Conditions NOT met","STOP – do not permit",IF(P41="Incomplete","Not authorized – complete checks",IF(AND(N41="Yes",O41="Yes"),"Closed","Authorized – open"))))</f>
        <v/>
      </c>
    </row>
    <row r="42" customFormat="false" ht="15" hidden="false" customHeight="false" outlineLevel="0" collapsed="false">
      <c r="A42" s="10"/>
      <c r="B42" s="11"/>
      <c r="C42" s="10"/>
      <c r="D42" s="10"/>
      <c r="E42" s="10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8" t="str">
        <f aca="false">IF(C42="","",IF(COUNTIF(F42:M42,"No")&gt;0,"Conditions NOT met",IF(COUNTBLANK(F42:M42)&gt;0,"Incomplete","All conditions met")))</f>
        <v/>
      </c>
      <c r="Q42" s="18" t="str">
        <f aca="false">IF(C42="","",IF(P42="Conditions NOT met","STOP – do not permit",IF(P42="Incomplete","Not authorized – complete checks",IF(AND(N42="Yes",O42="Yes"),"Closed","Authorized – open"))))</f>
        <v/>
      </c>
    </row>
    <row r="43" customFormat="false" ht="15" hidden="false" customHeight="false" outlineLevel="0" collapsed="false">
      <c r="A43" s="10"/>
      <c r="B43" s="11"/>
      <c r="C43" s="10"/>
      <c r="D43" s="10"/>
      <c r="E43" s="10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18" t="str">
        <f aca="false">IF(C43="","",IF(COUNTIF(F43:M43,"No")&gt;0,"Conditions NOT met",IF(COUNTBLANK(F43:M43)&gt;0,"Incomplete","All conditions met")))</f>
        <v/>
      </c>
      <c r="Q43" s="18" t="str">
        <f aca="false">IF(C43="","",IF(P43="Conditions NOT met","STOP – do not permit",IF(P43="Incomplete","Not authorized – complete checks",IF(AND(N43="Yes",O43="Yes"),"Closed","Authorized – open"))))</f>
        <v/>
      </c>
    </row>
    <row r="44" customFormat="false" ht="15" hidden="false" customHeight="false" outlineLevel="0" collapsed="false">
      <c r="A44" s="10"/>
      <c r="B44" s="11"/>
      <c r="C44" s="10"/>
      <c r="D44" s="10"/>
      <c r="E44" s="10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18" t="str">
        <f aca="false">IF(C44="","",IF(COUNTIF(F44:M44,"No")&gt;0,"Conditions NOT met",IF(COUNTBLANK(F44:M44)&gt;0,"Incomplete","All conditions met")))</f>
        <v/>
      </c>
      <c r="Q44" s="18" t="str">
        <f aca="false">IF(C44="","",IF(P44="Conditions NOT met","STOP – do not permit",IF(P44="Incomplete","Not authorized – complete checks",IF(AND(N44="Yes",O44="Yes"),"Closed","Authorized – open"))))</f>
        <v/>
      </c>
    </row>
    <row r="45" customFormat="false" ht="15" hidden="false" customHeight="false" outlineLevel="0" collapsed="false">
      <c r="A45" s="10"/>
      <c r="B45" s="11"/>
      <c r="C45" s="10"/>
      <c r="D45" s="10"/>
      <c r="E45" s="10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18" t="str">
        <f aca="false">IF(C45="","",IF(COUNTIF(F45:M45,"No")&gt;0,"Conditions NOT met",IF(COUNTBLANK(F45:M45)&gt;0,"Incomplete","All conditions met")))</f>
        <v/>
      </c>
      <c r="Q45" s="18" t="str">
        <f aca="false">IF(C45="","",IF(P45="Conditions NOT met","STOP – do not permit",IF(P45="Incomplete","Not authorized – complete checks",IF(AND(N45="Yes",O45="Yes"),"Closed","Authorized – open"))))</f>
        <v/>
      </c>
    </row>
    <row r="46" customFormat="false" ht="15" hidden="false" customHeight="false" outlineLevel="0" collapsed="false">
      <c r="A46" s="10"/>
      <c r="B46" s="11"/>
      <c r="C46" s="10"/>
      <c r="D46" s="10"/>
      <c r="E46" s="10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18" t="str">
        <f aca="false">IF(C46="","",IF(COUNTIF(F46:M46,"No")&gt;0,"Conditions NOT met",IF(COUNTBLANK(F46:M46)&gt;0,"Incomplete","All conditions met")))</f>
        <v/>
      </c>
      <c r="Q46" s="18" t="str">
        <f aca="false">IF(C46="","",IF(P46="Conditions NOT met","STOP – do not permit",IF(P46="Incomplete","Not authorized – complete checks",IF(AND(N46="Yes",O46="Yes"),"Closed","Authorized – open"))))</f>
        <v/>
      </c>
    </row>
    <row r="47" customFormat="false" ht="15" hidden="false" customHeight="false" outlineLevel="0" collapsed="false">
      <c r="A47" s="10"/>
      <c r="B47" s="11"/>
      <c r="C47" s="10"/>
      <c r="D47" s="10"/>
      <c r="E47" s="10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18" t="str">
        <f aca="false">IF(C47="","",IF(COUNTIF(F47:M47,"No")&gt;0,"Conditions NOT met",IF(COUNTBLANK(F47:M47)&gt;0,"Incomplete","All conditions met")))</f>
        <v/>
      </c>
      <c r="Q47" s="18" t="str">
        <f aca="false">IF(C47="","",IF(P47="Conditions NOT met","STOP – do not permit",IF(P47="Incomplete","Not authorized – complete checks",IF(AND(N47="Yes",O47="Yes"),"Closed","Authorized – open"))))</f>
        <v/>
      </c>
    </row>
    <row r="48" customFormat="false" ht="15" hidden="false" customHeight="false" outlineLevel="0" collapsed="false">
      <c r="A48" s="10"/>
      <c r="B48" s="11"/>
      <c r="C48" s="10"/>
      <c r="D48" s="10"/>
      <c r="E48" s="10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18" t="str">
        <f aca="false">IF(C48="","",IF(COUNTIF(F48:M48,"No")&gt;0,"Conditions NOT met",IF(COUNTBLANK(F48:M48)&gt;0,"Incomplete","All conditions met")))</f>
        <v/>
      </c>
      <c r="Q48" s="18" t="str">
        <f aca="false">IF(C48="","",IF(P48="Conditions NOT met","STOP – do not permit",IF(P48="Incomplete","Not authorized – complete checks",IF(AND(N48="Yes",O48="Yes"),"Closed","Authorized – open"))))</f>
        <v/>
      </c>
    </row>
    <row r="49" customFormat="false" ht="15" hidden="false" customHeight="false" outlineLevel="0" collapsed="false">
      <c r="A49" s="10"/>
      <c r="B49" s="11"/>
      <c r="C49" s="10"/>
      <c r="D49" s="10"/>
      <c r="E49" s="10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18" t="str">
        <f aca="false">IF(C49="","",IF(COUNTIF(F49:M49,"No")&gt;0,"Conditions NOT met",IF(COUNTBLANK(F49:M49)&gt;0,"Incomplete","All conditions met")))</f>
        <v/>
      </c>
      <c r="Q49" s="18" t="str">
        <f aca="false">IF(C49="","",IF(P49="Conditions NOT met","STOP – do not permit",IF(P49="Incomplete","Not authorized – complete checks",IF(AND(N49="Yes",O49="Yes"),"Closed","Authorized – open"))))</f>
        <v/>
      </c>
    </row>
    <row r="50" customFormat="false" ht="15" hidden="false" customHeight="false" outlineLevel="0" collapsed="false">
      <c r="A50" s="10"/>
      <c r="B50" s="11"/>
      <c r="C50" s="10"/>
      <c r="D50" s="10"/>
      <c r="E50" s="10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18" t="str">
        <f aca="false">IF(C50="","",IF(COUNTIF(F50:M50,"No")&gt;0,"Conditions NOT met",IF(COUNTBLANK(F50:M50)&gt;0,"Incomplete","All conditions met")))</f>
        <v/>
      </c>
      <c r="Q50" s="18" t="str">
        <f aca="false">IF(C50="","",IF(P50="Conditions NOT met","STOP – do not permit",IF(P50="Incomplete","Not authorized – complete checks",IF(AND(N50="Yes",O50="Yes"),"Closed","Authorized – open"))))</f>
        <v/>
      </c>
    </row>
    <row r="51" customFormat="false" ht="15" hidden="false" customHeight="false" outlineLevel="0" collapsed="false">
      <c r="A51" s="10"/>
      <c r="B51" s="11"/>
      <c r="C51" s="10"/>
      <c r="D51" s="10"/>
      <c r="E51" s="10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18" t="str">
        <f aca="false">IF(C51="","",IF(COUNTIF(F51:M51,"No")&gt;0,"Conditions NOT met",IF(COUNTBLANK(F51:M51)&gt;0,"Incomplete","All conditions met")))</f>
        <v/>
      </c>
      <c r="Q51" s="18" t="str">
        <f aca="false">IF(C51="","",IF(P51="Conditions NOT met","STOP – do not permit",IF(P51="Incomplete","Not authorized – complete checks",IF(AND(N51="Yes",O51="Yes"),"Closed","Authorized – open"))))</f>
        <v/>
      </c>
    </row>
    <row r="52" customFormat="false" ht="15" hidden="false" customHeight="false" outlineLevel="0" collapsed="false">
      <c r="A52" s="10"/>
      <c r="B52" s="11"/>
      <c r="C52" s="10"/>
      <c r="D52" s="10"/>
      <c r="E52" s="10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18" t="str">
        <f aca="false">IF(C52="","",IF(COUNTIF(F52:M52,"No")&gt;0,"Conditions NOT met",IF(COUNTBLANK(F52:M52)&gt;0,"Incomplete","All conditions met")))</f>
        <v/>
      </c>
      <c r="Q52" s="18" t="str">
        <f aca="false">IF(C52="","",IF(P52="Conditions NOT met","STOP – do not permit",IF(P52="Incomplete","Not authorized – complete checks",IF(AND(N52="Yes",O52="Yes"),"Closed","Authorized – open"))))</f>
        <v/>
      </c>
    </row>
    <row r="53" customFormat="false" ht="15" hidden="false" customHeight="false" outlineLevel="0" collapsed="false">
      <c r="A53" s="10"/>
      <c r="B53" s="11"/>
      <c r="C53" s="10"/>
      <c r="D53" s="10"/>
      <c r="E53" s="10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18" t="str">
        <f aca="false">IF(C53="","",IF(COUNTIF(F53:M53,"No")&gt;0,"Conditions NOT met",IF(COUNTBLANK(F53:M53)&gt;0,"Incomplete","All conditions met")))</f>
        <v/>
      </c>
      <c r="Q53" s="18" t="str">
        <f aca="false">IF(C53="","",IF(P53="Conditions NOT met","STOP – do not permit",IF(P53="Incomplete","Not authorized – complete checks",IF(AND(N53="Yes",O53="Yes"),"Closed","Authorized – open"))))</f>
        <v/>
      </c>
    </row>
    <row r="54" customFormat="false" ht="15" hidden="false" customHeight="false" outlineLevel="0" collapsed="false">
      <c r="A54" s="10"/>
      <c r="B54" s="11"/>
      <c r="C54" s="10"/>
      <c r="D54" s="10"/>
      <c r="E54" s="10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18" t="str">
        <f aca="false">IF(C54="","",IF(COUNTIF(F54:M54,"No")&gt;0,"Conditions NOT met",IF(COUNTBLANK(F54:M54)&gt;0,"Incomplete","All conditions met")))</f>
        <v/>
      </c>
      <c r="Q54" s="18" t="str">
        <f aca="false">IF(C54="","",IF(P54="Conditions NOT met","STOP – do not permit",IF(P54="Incomplete","Not authorized – complete checks",IF(AND(N54="Yes",O54="Yes"),"Closed","Authorized – open"))))</f>
        <v/>
      </c>
    </row>
    <row r="55" customFormat="false" ht="15" hidden="false" customHeight="false" outlineLevel="0" collapsed="false">
      <c r="A55" s="10"/>
      <c r="B55" s="11"/>
      <c r="C55" s="10"/>
      <c r="D55" s="10"/>
      <c r="E55" s="10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18" t="str">
        <f aca="false">IF(C55="","",IF(COUNTIF(F55:M55,"No")&gt;0,"Conditions NOT met",IF(COUNTBLANK(F55:M55)&gt;0,"Incomplete","All conditions met")))</f>
        <v/>
      </c>
      <c r="Q55" s="18" t="str">
        <f aca="false">IF(C55="","",IF(P55="Conditions NOT met","STOP – do not permit",IF(P55="Incomplete","Not authorized – complete checks",IF(AND(N55="Yes",O55="Yes"),"Closed","Authorized – open"))))</f>
        <v/>
      </c>
    </row>
    <row r="56" customFormat="false" ht="15" hidden="false" customHeight="false" outlineLevel="0" collapsed="false">
      <c r="A56" s="10"/>
      <c r="B56" s="11"/>
      <c r="C56" s="10"/>
      <c r="D56" s="10"/>
      <c r="E56" s="10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18" t="str">
        <f aca="false">IF(C56="","",IF(COUNTIF(F56:M56,"No")&gt;0,"Conditions NOT met",IF(COUNTBLANK(F56:M56)&gt;0,"Incomplete","All conditions met")))</f>
        <v/>
      </c>
      <c r="Q56" s="18" t="str">
        <f aca="false">IF(C56="","",IF(P56="Conditions NOT met","STOP – do not permit",IF(P56="Incomplete","Not authorized – complete checks",IF(AND(N56="Yes",O56="Yes"),"Closed","Authorized – open"))))</f>
        <v/>
      </c>
    </row>
    <row r="57" customFormat="false" ht="15" hidden="false" customHeight="false" outlineLevel="0" collapsed="false">
      <c r="A57" s="10"/>
      <c r="B57" s="11"/>
      <c r="C57" s="10"/>
      <c r="D57" s="10"/>
      <c r="E57" s="10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18" t="str">
        <f aca="false">IF(C57="","",IF(COUNTIF(F57:M57,"No")&gt;0,"Conditions NOT met",IF(COUNTBLANK(F57:M57)&gt;0,"Incomplete","All conditions met")))</f>
        <v/>
      </c>
      <c r="Q57" s="18" t="str">
        <f aca="false">IF(C57="","",IF(P57="Conditions NOT met","STOP – do not permit",IF(P57="Incomplete","Not authorized – complete checks",IF(AND(N57="Yes",O57="Yes"),"Closed","Authorized – open"))))</f>
        <v/>
      </c>
    </row>
    <row r="58" customFormat="false" ht="15" hidden="false" customHeight="false" outlineLevel="0" collapsed="false">
      <c r="A58" s="10"/>
      <c r="B58" s="11"/>
      <c r="C58" s="10"/>
      <c r="D58" s="10"/>
      <c r="E58" s="10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18" t="str">
        <f aca="false">IF(C58="","",IF(COUNTIF(F58:M58,"No")&gt;0,"Conditions NOT met",IF(COUNTBLANK(F58:M58)&gt;0,"Incomplete","All conditions met")))</f>
        <v/>
      </c>
      <c r="Q58" s="18" t="str">
        <f aca="false">IF(C58="","",IF(P58="Conditions NOT met","STOP – do not permit",IF(P58="Incomplete","Not authorized – complete checks",IF(AND(N58="Yes",O58="Yes"),"Closed","Authorized – open"))))</f>
        <v/>
      </c>
    </row>
    <row r="59" customFormat="false" ht="15" hidden="false" customHeight="false" outlineLevel="0" collapsed="false">
      <c r="A59" s="10"/>
      <c r="B59" s="11"/>
      <c r="C59" s="10"/>
      <c r="D59" s="10"/>
      <c r="E59" s="10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18" t="str">
        <f aca="false">IF(C59="","",IF(COUNTIF(F59:M59,"No")&gt;0,"Conditions NOT met",IF(COUNTBLANK(F59:M59)&gt;0,"Incomplete","All conditions met")))</f>
        <v/>
      </c>
      <c r="Q59" s="18" t="str">
        <f aca="false">IF(C59="","",IF(P59="Conditions NOT met","STOP – do not permit",IF(P59="Incomplete","Not authorized – complete checks",IF(AND(N59="Yes",O59="Yes"),"Closed","Authorized – open"))))</f>
        <v/>
      </c>
    </row>
    <row r="60" customFormat="false" ht="15" hidden="false" customHeight="false" outlineLevel="0" collapsed="false">
      <c r="A60" s="10"/>
      <c r="B60" s="11"/>
      <c r="C60" s="10"/>
      <c r="D60" s="10"/>
      <c r="E60" s="10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18" t="str">
        <f aca="false">IF(C60="","",IF(COUNTIF(F60:M60,"No")&gt;0,"Conditions NOT met",IF(COUNTBLANK(F60:M60)&gt;0,"Incomplete","All conditions met")))</f>
        <v/>
      </c>
      <c r="Q60" s="18" t="str">
        <f aca="false">IF(C60="","",IF(P60="Conditions NOT met","STOP – do not permit",IF(P60="Incomplete","Not authorized – complete checks",IF(AND(N60="Yes",O60="Yes"),"Closed","Authorized – open"))))</f>
        <v/>
      </c>
    </row>
    <row r="61" customFormat="false" ht="15" hidden="false" customHeight="false" outlineLevel="0" collapsed="false">
      <c r="A61" s="10"/>
      <c r="B61" s="11"/>
      <c r="C61" s="10"/>
      <c r="D61" s="10"/>
      <c r="E61" s="10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18" t="str">
        <f aca="false">IF(C61="","",IF(COUNTIF(F61:M61,"No")&gt;0,"Conditions NOT met",IF(COUNTBLANK(F61:M61)&gt;0,"Incomplete","All conditions met")))</f>
        <v/>
      </c>
      <c r="Q61" s="18" t="str">
        <f aca="false">IF(C61="","",IF(P61="Conditions NOT met","STOP – do not permit",IF(P61="Incomplete","Not authorized – complete checks",IF(AND(N61="Yes",O61="Yes"),"Closed","Authorized – open"))))</f>
        <v/>
      </c>
    </row>
    <row r="62" customFormat="false" ht="15" hidden="false" customHeight="false" outlineLevel="0" collapsed="false">
      <c r="A62" s="10"/>
      <c r="B62" s="11"/>
      <c r="C62" s="10"/>
      <c r="D62" s="10"/>
      <c r="E62" s="10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18" t="str">
        <f aca="false">IF(C62="","",IF(COUNTIF(F62:M62,"No")&gt;0,"Conditions NOT met",IF(COUNTBLANK(F62:M62)&gt;0,"Incomplete","All conditions met")))</f>
        <v/>
      </c>
      <c r="Q62" s="18" t="str">
        <f aca="false">IF(C62="","",IF(P62="Conditions NOT met","STOP – do not permit",IF(P62="Incomplete","Not authorized – complete checks",IF(AND(N62="Yes",O62="Yes"),"Closed","Authorized – open"))))</f>
        <v/>
      </c>
    </row>
    <row r="63" customFormat="false" ht="15" hidden="false" customHeight="false" outlineLevel="0" collapsed="false">
      <c r="A63" s="10"/>
      <c r="B63" s="11"/>
      <c r="C63" s="10"/>
      <c r="D63" s="10"/>
      <c r="E63" s="10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18" t="str">
        <f aca="false">IF(C63="","",IF(COUNTIF(F63:M63,"No")&gt;0,"Conditions NOT met",IF(COUNTBLANK(F63:M63)&gt;0,"Incomplete","All conditions met")))</f>
        <v/>
      </c>
      <c r="Q63" s="18" t="str">
        <f aca="false">IF(C63="","",IF(P63="Conditions NOT met","STOP – do not permit",IF(P63="Incomplete","Not authorized – complete checks",IF(AND(N63="Yes",O63="Yes"),"Closed","Authorized – open"))))</f>
        <v/>
      </c>
    </row>
    <row r="64" customFormat="false" ht="15" hidden="false" customHeight="false" outlineLevel="0" collapsed="false">
      <c r="A64" s="10"/>
      <c r="B64" s="11"/>
      <c r="C64" s="10"/>
      <c r="D64" s="10"/>
      <c r="E64" s="10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18" t="str">
        <f aca="false">IF(C64="","",IF(COUNTIF(F64:M64,"No")&gt;0,"Conditions NOT met",IF(COUNTBLANK(F64:M64)&gt;0,"Incomplete","All conditions met")))</f>
        <v/>
      </c>
      <c r="Q64" s="18" t="str">
        <f aca="false">IF(C64="","",IF(P64="Conditions NOT met","STOP – do not permit",IF(P64="Incomplete","Not authorized – complete checks",IF(AND(N64="Yes",O64="Yes"),"Closed","Authorized – open"))))</f>
        <v/>
      </c>
    </row>
  </sheetData>
  <conditionalFormatting sqref="F5:O6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"No"</formula>
    </cfRule>
  </conditionalFormatting>
  <conditionalFormatting sqref="P5:P64">
    <cfRule type="cellIs" priority="5" operator="equal" aboveAverage="0" equalAverage="0" bottom="0" percent="0" rank="0" text="" dxfId="0">
      <formula>"All conditions met"</formula>
    </cfRule>
    <cfRule type="cellIs" priority="6" operator="equal" aboveAverage="0" equalAverage="0" bottom="0" percent="0" rank="0" text="" dxfId="1">
      <formula>"Incomplete"</formula>
    </cfRule>
    <cfRule type="cellIs" priority="7" operator="equal" aboveAverage="0" equalAverage="0" bottom="0" percent="0" rank="0" text="" dxfId="2">
      <formula>"Conditions NOT met"</formula>
    </cfRule>
  </conditionalFormatting>
  <conditionalFormatting sqref="Q5:Q64">
    <cfRule type="cellIs" priority="8" operator="equal" aboveAverage="0" equalAverage="0" bottom="0" percent="0" rank="0" text="" dxfId="0">
      <formula>"Closed"</formula>
    </cfRule>
    <cfRule type="cellIs" priority="9" operator="equal" aboveAverage="0" equalAverage="0" bottom="0" percent="0" rank="0" text="" dxfId="1">
      <formula>"Authorized – open"</formula>
    </cfRule>
    <cfRule type="cellIs" priority="10" operator="equal" aboveAverage="0" equalAverage="0" bottom="0" percent="0" rank="0" text="" dxfId="1">
      <formula>"Not authorized – complete checks"</formula>
    </cfRule>
    <cfRule type="cellIs" priority="11" operator="equal" aboveAverage="0" equalAverage="0" bottom="0" percent="0" rank="0" text="" dxfId="3">
      <formula>"STOP – do not permit"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D5:D64" type="list">
      <formula1>Lists!$K$2:$K$7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F5:O64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28"/>
  </cols>
  <sheetData>
    <row r="1" customFormat="false" ht="19.7" hidden="false" customHeight="false" outlineLevel="0" collapsed="false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352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1.5" hidden="false" customHeight="true" outlineLevel="0" collapsed="false">
      <c r="A4" s="12" t="s">
        <v>353</v>
      </c>
      <c r="B4" s="12" t="s">
        <v>354</v>
      </c>
      <c r="C4" s="12" t="s">
        <v>355</v>
      </c>
      <c r="D4" s="12" t="s">
        <v>356</v>
      </c>
      <c r="E4" s="12" t="s">
        <v>357</v>
      </c>
      <c r="F4" s="12" t="s">
        <v>358</v>
      </c>
      <c r="G4" s="12" t="s">
        <v>359</v>
      </c>
      <c r="H4" s="12" t="s">
        <v>360</v>
      </c>
      <c r="I4" s="12" t="s">
        <v>361</v>
      </c>
      <c r="J4" s="12" t="s">
        <v>362</v>
      </c>
      <c r="K4" s="12" t="s">
        <v>363</v>
      </c>
      <c r="L4" s="12" t="s">
        <v>364</v>
      </c>
      <c r="M4" s="12" t="s">
        <v>365</v>
      </c>
      <c r="N4" s="12" t="s">
        <v>243</v>
      </c>
    </row>
    <row r="5" customFormat="false" ht="26.85" hidden="false" customHeight="false" outlineLevel="0" collapsed="false">
      <c r="A5" s="10" t="s">
        <v>366</v>
      </c>
      <c r="B5" s="10" t="s">
        <v>367</v>
      </c>
      <c r="C5" s="10" t="s">
        <v>368</v>
      </c>
      <c r="D5" s="10" t="s">
        <v>369</v>
      </c>
      <c r="E5" s="29" t="n">
        <v>8</v>
      </c>
      <c r="F5" s="29" t="n">
        <v>10</v>
      </c>
      <c r="G5" s="24" t="s">
        <v>370</v>
      </c>
      <c r="H5" s="24" t="s">
        <v>209</v>
      </c>
      <c r="I5" s="24" t="s">
        <v>209</v>
      </c>
      <c r="J5" s="24" t="s">
        <v>209</v>
      </c>
      <c r="K5" s="24" t="s">
        <v>202</v>
      </c>
      <c r="L5" s="18" t="str">
        <f aca="false">IF(OR(E5="",F5=""),"",IF(E5&gt;F5,"Over limit","Within limit"))</f>
        <v>Within limit</v>
      </c>
      <c r="M5" s="18" t="str">
        <f aca="false">IF(B5="","",IF(AND(H5="Yes",I5="Yes",J5="Yes",K5&lt;&gt;"No",L5&lt;&gt;"Over limit"),"Compliant",IF(OR(H5="",I5="",J5=""),"Incomplete","Action needed")))</f>
        <v>Compliant</v>
      </c>
      <c r="N5" s="10"/>
    </row>
    <row r="6" customFormat="false" ht="26.85" hidden="false" customHeight="false" outlineLevel="0" collapsed="false">
      <c r="A6" s="10" t="s">
        <v>371</v>
      </c>
      <c r="B6" s="10" t="s">
        <v>372</v>
      </c>
      <c r="C6" s="10" t="s">
        <v>368</v>
      </c>
      <c r="D6" s="10" t="s">
        <v>373</v>
      </c>
      <c r="E6" s="29" t="n">
        <v>4</v>
      </c>
      <c r="F6" s="29" t="n">
        <v>2</v>
      </c>
      <c r="G6" s="24" t="s">
        <v>370</v>
      </c>
      <c r="H6" s="24" t="s">
        <v>195</v>
      </c>
      <c r="I6" s="24" t="s">
        <v>209</v>
      </c>
      <c r="J6" s="24" t="s">
        <v>209</v>
      </c>
      <c r="K6" s="24" t="s">
        <v>202</v>
      </c>
      <c r="L6" s="18" t="str">
        <f aca="false">IF(OR(E6="",F6=""),"",IF(E6&gt;F6,"Over limit","Within limit"))</f>
        <v>Over limit</v>
      </c>
      <c r="M6" s="18" t="str">
        <f aca="false">IF(B6="","",IF(AND(H6="Yes",I6="Yes",J6="Yes",K6&lt;&gt;"No",L6&lt;&gt;"Over limit"),"Compliant",IF(OR(H6="",I6="",J6=""),"Incomplete","Action needed")))</f>
        <v>Action needed</v>
      </c>
      <c r="N6" s="10" t="s">
        <v>374</v>
      </c>
    </row>
    <row r="7" customFormat="false" ht="26.85" hidden="false" customHeight="false" outlineLevel="0" collapsed="false">
      <c r="A7" s="10" t="s">
        <v>375</v>
      </c>
      <c r="B7" s="10" t="s">
        <v>376</v>
      </c>
      <c r="C7" s="10" t="s">
        <v>377</v>
      </c>
      <c r="D7" s="10" t="s">
        <v>378</v>
      </c>
      <c r="E7" s="29" t="n">
        <v>6</v>
      </c>
      <c r="F7" s="29" t="n">
        <v>8</v>
      </c>
      <c r="G7" s="24" t="s">
        <v>379</v>
      </c>
      <c r="H7" s="24" t="s">
        <v>209</v>
      </c>
      <c r="I7" s="24" t="s">
        <v>209</v>
      </c>
      <c r="J7" s="24" t="s">
        <v>209</v>
      </c>
      <c r="K7" s="24" t="s">
        <v>209</v>
      </c>
      <c r="L7" s="18" t="str">
        <f aca="false">IF(OR(E7="",F7=""),"",IF(E7&gt;F7,"Over limit","Within limit"))</f>
        <v>Within limit</v>
      </c>
      <c r="M7" s="18" t="str">
        <f aca="false">IF(B7="","",IF(AND(H7="Yes",I7="Yes",J7="Yes",K7&lt;&gt;"No",L7&lt;&gt;"Over limit"),"Compliant",IF(OR(H7="",I7="",J7=""),"Incomplete","Action needed")))</f>
        <v>Compliant</v>
      </c>
      <c r="N7" s="10"/>
    </row>
    <row r="8" customFormat="false" ht="26.85" hidden="false" customHeight="false" outlineLevel="0" collapsed="false">
      <c r="A8" s="10" t="s">
        <v>380</v>
      </c>
      <c r="B8" s="10" t="s">
        <v>381</v>
      </c>
      <c r="C8" s="10" t="s">
        <v>377</v>
      </c>
      <c r="D8" s="10" t="s">
        <v>286</v>
      </c>
      <c r="E8" s="29" t="n">
        <v>2</v>
      </c>
      <c r="F8" s="29" t="n">
        <v>2</v>
      </c>
      <c r="G8" s="24" t="s">
        <v>379</v>
      </c>
      <c r="H8" s="24" t="s">
        <v>209</v>
      </c>
      <c r="I8" s="24" t="s">
        <v>209</v>
      </c>
      <c r="J8" s="24" t="s">
        <v>209</v>
      </c>
      <c r="K8" s="24" t="s">
        <v>195</v>
      </c>
      <c r="L8" s="18" t="str">
        <f aca="false">IF(OR(E8="",F8=""),"",IF(E8&gt;F8,"Over limit","Within limit"))</f>
        <v>Within limit</v>
      </c>
      <c r="M8" s="18" t="str">
        <f aca="false">IF(B8="","",IF(AND(H8="Yes",I8="Yes",J8="Yes",K8&lt;&gt;"No",L8&lt;&gt;"Over limit"),"Compliant",IF(OR(H8="",I8="",J8=""),"Incomplete","Action needed")))</f>
        <v>Action needed</v>
      </c>
      <c r="N8" s="10" t="s">
        <v>382</v>
      </c>
    </row>
    <row r="9" customFormat="false" ht="15" hidden="false" customHeight="false" outlineLevel="0" collapsed="false">
      <c r="A9" s="10" t="s">
        <v>383</v>
      </c>
      <c r="B9" s="10" t="s">
        <v>384</v>
      </c>
      <c r="C9" s="10" t="s">
        <v>368</v>
      </c>
      <c r="D9" s="10" t="s">
        <v>385</v>
      </c>
      <c r="E9" s="29" t="n">
        <v>15</v>
      </c>
      <c r="F9" s="29" t="n">
        <v>20</v>
      </c>
      <c r="G9" s="24" t="s">
        <v>370</v>
      </c>
      <c r="H9" s="24" t="s">
        <v>209</v>
      </c>
      <c r="I9" s="24" t="s">
        <v>209</v>
      </c>
      <c r="J9" s="24" t="s">
        <v>209</v>
      </c>
      <c r="K9" s="24" t="s">
        <v>202</v>
      </c>
      <c r="L9" s="18" t="str">
        <f aca="false">IF(OR(E9="",F9=""),"",IF(E9&gt;F9,"Over limit","Within limit"))</f>
        <v>Within limit</v>
      </c>
      <c r="M9" s="18" t="str">
        <f aca="false">IF(B9="","",IF(AND(H9="Yes",I9="Yes",J9="Yes",K9&lt;&gt;"No",L9&lt;&gt;"Over limit"),"Compliant",IF(OR(H9="",I9="",J9=""),"Incomplete","Action needed")))</f>
        <v>Compliant</v>
      </c>
      <c r="N9" s="10"/>
    </row>
    <row r="10" customFormat="false" ht="15" hidden="false" customHeight="false" outlineLevel="0" collapsed="false">
      <c r="A10" s="10"/>
      <c r="B10" s="10"/>
      <c r="C10" s="10"/>
      <c r="D10" s="10"/>
      <c r="E10" s="29"/>
      <c r="F10" s="29"/>
      <c r="G10" s="24"/>
      <c r="H10" s="24"/>
      <c r="I10" s="24"/>
      <c r="J10" s="24"/>
      <c r="K10" s="24"/>
      <c r="L10" s="18" t="str">
        <f aca="false">IF(OR(E10="",F10=""),"",IF(E10&gt;F10,"Over limit","Within limit"))</f>
        <v/>
      </c>
      <c r="M10" s="18" t="str">
        <f aca="false">IF(B10="","",IF(AND(H10="Yes",I10="Yes",J10="Yes",K10&lt;&gt;"No",L10&lt;&gt;"Over limit"),"Compliant",IF(OR(H10="",I10="",J10=""),"Incomplete","Action needed")))</f>
        <v/>
      </c>
      <c r="N10" s="10"/>
    </row>
    <row r="11" customFormat="false" ht="15" hidden="false" customHeight="false" outlineLevel="0" collapsed="false">
      <c r="A11" s="10"/>
      <c r="B11" s="10"/>
      <c r="C11" s="10"/>
      <c r="D11" s="10"/>
      <c r="E11" s="29"/>
      <c r="F11" s="29"/>
      <c r="G11" s="24"/>
      <c r="H11" s="24"/>
      <c r="I11" s="24"/>
      <c r="J11" s="24"/>
      <c r="K11" s="24"/>
      <c r="L11" s="18" t="str">
        <f aca="false">IF(OR(E11="",F11=""),"",IF(E11&gt;F11,"Over limit","Within limit"))</f>
        <v/>
      </c>
      <c r="M11" s="18" t="str">
        <f aca="false">IF(B11="","",IF(AND(H11="Yes",I11="Yes",J11="Yes",K11&lt;&gt;"No",L11&lt;&gt;"Over limit"),"Compliant",IF(OR(H11="",I11="",J11=""),"Incomplete","Action needed")))</f>
        <v/>
      </c>
      <c r="N11" s="10"/>
    </row>
    <row r="12" customFormat="false" ht="15" hidden="false" customHeight="false" outlineLevel="0" collapsed="false">
      <c r="A12" s="10"/>
      <c r="B12" s="10"/>
      <c r="C12" s="10"/>
      <c r="D12" s="10"/>
      <c r="E12" s="29"/>
      <c r="F12" s="29"/>
      <c r="G12" s="24"/>
      <c r="H12" s="24"/>
      <c r="I12" s="24"/>
      <c r="J12" s="24"/>
      <c r="K12" s="24"/>
      <c r="L12" s="18" t="str">
        <f aca="false">IF(OR(E12="",F12=""),"",IF(E12&gt;F12,"Over limit","Within limit"))</f>
        <v/>
      </c>
      <c r="M12" s="18" t="str">
        <f aca="false">IF(B12="","",IF(AND(H12="Yes",I12="Yes",J12="Yes",K12&lt;&gt;"No",L12&lt;&gt;"Over limit"),"Compliant",IF(OR(H12="",I12="",J12=""),"Incomplete","Action needed")))</f>
        <v/>
      </c>
      <c r="N12" s="10"/>
    </row>
    <row r="13" customFormat="false" ht="15" hidden="false" customHeight="false" outlineLevel="0" collapsed="false">
      <c r="A13" s="10"/>
      <c r="B13" s="10"/>
      <c r="C13" s="10"/>
      <c r="D13" s="10"/>
      <c r="E13" s="29"/>
      <c r="F13" s="29"/>
      <c r="G13" s="24"/>
      <c r="H13" s="24"/>
      <c r="I13" s="24"/>
      <c r="J13" s="24"/>
      <c r="K13" s="24"/>
      <c r="L13" s="18" t="str">
        <f aca="false">IF(OR(E13="",F13=""),"",IF(E13&gt;F13,"Over limit","Within limit"))</f>
        <v/>
      </c>
      <c r="M13" s="18" t="str">
        <f aca="false">IF(B13="","",IF(AND(H13="Yes",I13="Yes",J13="Yes",K13&lt;&gt;"No",L13&lt;&gt;"Over limit"),"Compliant",IF(OR(H13="",I13="",J13=""),"Incomplete","Action needed")))</f>
        <v/>
      </c>
      <c r="N13" s="10"/>
    </row>
    <row r="14" customFormat="false" ht="15" hidden="false" customHeight="false" outlineLevel="0" collapsed="false">
      <c r="A14" s="10"/>
      <c r="B14" s="10"/>
      <c r="C14" s="10"/>
      <c r="D14" s="10"/>
      <c r="E14" s="29"/>
      <c r="F14" s="29"/>
      <c r="G14" s="24"/>
      <c r="H14" s="24"/>
      <c r="I14" s="24"/>
      <c r="J14" s="24"/>
      <c r="K14" s="24"/>
      <c r="L14" s="18" t="str">
        <f aca="false">IF(OR(E14="",F14=""),"",IF(E14&gt;F14,"Over limit","Within limit"))</f>
        <v/>
      </c>
      <c r="M14" s="18" t="str">
        <f aca="false">IF(B14="","",IF(AND(H14="Yes",I14="Yes",J14="Yes",K14&lt;&gt;"No",L14&lt;&gt;"Over limit"),"Compliant",IF(OR(H14="",I14="",J14=""),"Incomplete","Action needed")))</f>
        <v/>
      </c>
      <c r="N14" s="10"/>
    </row>
    <row r="15" customFormat="false" ht="15" hidden="false" customHeight="false" outlineLevel="0" collapsed="false">
      <c r="A15" s="10"/>
      <c r="B15" s="10"/>
      <c r="C15" s="10"/>
      <c r="D15" s="10"/>
      <c r="E15" s="29"/>
      <c r="F15" s="29"/>
      <c r="G15" s="24"/>
      <c r="H15" s="24"/>
      <c r="I15" s="24"/>
      <c r="J15" s="24"/>
      <c r="K15" s="24"/>
      <c r="L15" s="18" t="str">
        <f aca="false">IF(OR(E15="",F15=""),"",IF(E15&gt;F15,"Over limit","Within limit"))</f>
        <v/>
      </c>
      <c r="M15" s="18" t="str">
        <f aca="false">IF(B15="","",IF(AND(H15="Yes",I15="Yes",J15="Yes",K15&lt;&gt;"No",L15&lt;&gt;"Over limit"),"Compliant",IF(OR(H15="",I15="",J15=""),"Incomplete","Action needed")))</f>
        <v/>
      </c>
      <c r="N15" s="10"/>
    </row>
    <row r="16" customFormat="false" ht="15" hidden="false" customHeight="false" outlineLevel="0" collapsed="false">
      <c r="A16" s="10"/>
      <c r="B16" s="10"/>
      <c r="C16" s="10"/>
      <c r="D16" s="10"/>
      <c r="E16" s="29"/>
      <c r="F16" s="29"/>
      <c r="G16" s="24"/>
      <c r="H16" s="24"/>
      <c r="I16" s="24"/>
      <c r="J16" s="24"/>
      <c r="K16" s="24"/>
      <c r="L16" s="18" t="str">
        <f aca="false">IF(OR(E16="",F16=""),"",IF(E16&gt;F16,"Over limit","Within limit"))</f>
        <v/>
      </c>
      <c r="M16" s="18" t="str">
        <f aca="false">IF(B16="","",IF(AND(H16="Yes",I16="Yes",J16="Yes",K16&lt;&gt;"No",L16&lt;&gt;"Over limit"),"Compliant",IF(OR(H16="",I16="",J16=""),"Incomplete","Action needed")))</f>
        <v/>
      </c>
      <c r="N16" s="10"/>
    </row>
    <row r="17" customFormat="false" ht="15" hidden="false" customHeight="false" outlineLevel="0" collapsed="false">
      <c r="A17" s="10"/>
      <c r="B17" s="10"/>
      <c r="C17" s="10"/>
      <c r="D17" s="10"/>
      <c r="E17" s="29"/>
      <c r="F17" s="29"/>
      <c r="G17" s="24"/>
      <c r="H17" s="24"/>
      <c r="I17" s="24"/>
      <c r="J17" s="24"/>
      <c r="K17" s="24"/>
      <c r="L17" s="18" t="str">
        <f aca="false">IF(OR(E17="",F17=""),"",IF(E17&gt;F17,"Over limit","Within limit"))</f>
        <v/>
      </c>
      <c r="M17" s="18" t="str">
        <f aca="false">IF(B17="","",IF(AND(H17="Yes",I17="Yes",J17="Yes",K17&lt;&gt;"No",L17&lt;&gt;"Over limit"),"Compliant",IF(OR(H17="",I17="",J17=""),"Incomplete","Action needed")))</f>
        <v/>
      </c>
      <c r="N17" s="10"/>
    </row>
    <row r="18" customFormat="false" ht="15" hidden="false" customHeight="false" outlineLevel="0" collapsed="false">
      <c r="A18" s="10"/>
      <c r="B18" s="10"/>
      <c r="C18" s="10"/>
      <c r="D18" s="10"/>
      <c r="E18" s="29"/>
      <c r="F18" s="29"/>
      <c r="G18" s="24"/>
      <c r="H18" s="24"/>
      <c r="I18" s="24"/>
      <c r="J18" s="24"/>
      <c r="K18" s="24"/>
      <c r="L18" s="18" t="str">
        <f aca="false">IF(OR(E18="",F18=""),"",IF(E18&gt;F18,"Over limit","Within limit"))</f>
        <v/>
      </c>
      <c r="M18" s="18" t="str">
        <f aca="false">IF(B18="","",IF(AND(H18="Yes",I18="Yes",J18="Yes",K18&lt;&gt;"No",L18&lt;&gt;"Over limit"),"Compliant",IF(OR(H18="",I18="",J18=""),"Incomplete","Action needed")))</f>
        <v/>
      </c>
      <c r="N18" s="10"/>
    </row>
    <row r="19" customFormat="false" ht="15" hidden="false" customHeight="false" outlineLevel="0" collapsed="false">
      <c r="A19" s="10"/>
      <c r="B19" s="10"/>
      <c r="C19" s="10"/>
      <c r="D19" s="10"/>
      <c r="E19" s="29"/>
      <c r="F19" s="29"/>
      <c r="G19" s="24"/>
      <c r="H19" s="24"/>
      <c r="I19" s="24"/>
      <c r="J19" s="24"/>
      <c r="K19" s="24"/>
      <c r="L19" s="18" t="str">
        <f aca="false">IF(OR(E19="",F19=""),"",IF(E19&gt;F19,"Over limit","Within limit"))</f>
        <v/>
      </c>
      <c r="M19" s="18" t="str">
        <f aca="false">IF(B19="","",IF(AND(H19="Yes",I19="Yes",J19="Yes",K19&lt;&gt;"No",L19&lt;&gt;"Over limit"),"Compliant",IF(OR(H19="",I19="",J19=""),"Incomplete","Action needed")))</f>
        <v/>
      </c>
      <c r="N19" s="10"/>
    </row>
    <row r="20" customFormat="false" ht="15" hidden="false" customHeight="false" outlineLevel="0" collapsed="false">
      <c r="A20" s="10"/>
      <c r="B20" s="10"/>
      <c r="C20" s="10"/>
      <c r="D20" s="10"/>
      <c r="E20" s="29"/>
      <c r="F20" s="29"/>
      <c r="G20" s="24"/>
      <c r="H20" s="24"/>
      <c r="I20" s="24"/>
      <c r="J20" s="24"/>
      <c r="K20" s="24"/>
      <c r="L20" s="18" t="str">
        <f aca="false">IF(OR(E20="",F20=""),"",IF(E20&gt;F20,"Over limit","Within limit"))</f>
        <v/>
      </c>
      <c r="M20" s="18" t="str">
        <f aca="false">IF(B20="","",IF(AND(H20="Yes",I20="Yes",J20="Yes",K20&lt;&gt;"No",L20&lt;&gt;"Over limit"),"Compliant",IF(OR(H20="",I20="",J20=""),"Incomplete","Action needed")))</f>
        <v/>
      </c>
      <c r="N20" s="10"/>
    </row>
    <row r="21" customFormat="false" ht="15" hidden="false" customHeight="false" outlineLevel="0" collapsed="false">
      <c r="A21" s="10"/>
      <c r="B21" s="10"/>
      <c r="C21" s="10"/>
      <c r="D21" s="10"/>
      <c r="E21" s="29"/>
      <c r="F21" s="29"/>
      <c r="G21" s="24"/>
      <c r="H21" s="24"/>
      <c r="I21" s="24"/>
      <c r="J21" s="24"/>
      <c r="K21" s="24"/>
      <c r="L21" s="18" t="str">
        <f aca="false">IF(OR(E21="",F21=""),"",IF(E21&gt;F21,"Over limit","Within limit"))</f>
        <v/>
      </c>
      <c r="M21" s="18" t="str">
        <f aca="false">IF(B21="","",IF(AND(H21="Yes",I21="Yes",J21="Yes",K21&lt;&gt;"No",L21&lt;&gt;"Over limit"),"Compliant",IF(OR(H21="",I21="",J21=""),"Incomplete","Action needed")))</f>
        <v/>
      </c>
      <c r="N21" s="10"/>
    </row>
    <row r="22" customFormat="false" ht="15" hidden="false" customHeight="false" outlineLevel="0" collapsed="false">
      <c r="A22" s="10"/>
      <c r="B22" s="10"/>
      <c r="C22" s="10"/>
      <c r="D22" s="10"/>
      <c r="E22" s="29"/>
      <c r="F22" s="29"/>
      <c r="G22" s="24"/>
      <c r="H22" s="24"/>
      <c r="I22" s="24"/>
      <c r="J22" s="24"/>
      <c r="K22" s="24"/>
      <c r="L22" s="18" t="str">
        <f aca="false">IF(OR(E22="",F22=""),"",IF(E22&gt;F22,"Over limit","Within limit"))</f>
        <v/>
      </c>
      <c r="M22" s="18" t="str">
        <f aca="false">IF(B22="","",IF(AND(H22="Yes",I22="Yes",J22="Yes",K22&lt;&gt;"No",L22&lt;&gt;"Over limit"),"Compliant",IF(OR(H22="",I22="",J22=""),"Incomplete","Action needed")))</f>
        <v/>
      </c>
      <c r="N22" s="10"/>
    </row>
    <row r="23" customFormat="false" ht="15" hidden="false" customHeight="false" outlineLevel="0" collapsed="false">
      <c r="A23" s="10"/>
      <c r="B23" s="10"/>
      <c r="C23" s="10"/>
      <c r="D23" s="10"/>
      <c r="E23" s="29"/>
      <c r="F23" s="29"/>
      <c r="G23" s="24"/>
      <c r="H23" s="24"/>
      <c r="I23" s="24"/>
      <c r="J23" s="24"/>
      <c r="K23" s="24"/>
      <c r="L23" s="18" t="str">
        <f aca="false">IF(OR(E23="",F23=""),"",IF(E23&gt;F23,"Over limit","Within limit"))</f>
        <v/>
      </c>
      <c r="M23" s="18" t="str">
        <f aca="false">IF(B23="","",IF(AND(H23="Yes",I23="Yes",J23="Yes",K23&lt;&gt;"No",L23&lt;&gt;"Over limit"),"Compliant",IF(OR(H23="",I23="",J23=""),"Incomplete","Action needed")))</f>
        <v/>
      </c>
      <c r="N23" s="10"/>
    </row>
    <row r="24" customFormat="false" ht="15" hidden="false" customHeight="false" outlineLevel="0" collapsed="false">
      <c r="A24" s="10"/>
      <c r="B24" s="10"/>
      <c r="C24" s="10"/>
      <c r="D24" s="10"/>
      <c r="E24" s="29"/>
      <c r="F24" s="29"/>
      <c r="G24" s="24"/>
      <c r="H24" s="24"/>
      <c r="I24" s="24"/>
      <c r="J24" s="24"/>
      <c r="K24" s="24"/>
      <c r="L24" s="18" t="str">
        <f aca="false">IF(OR(E24="",F24=""),"",IF(E24&gt;F24,"Over limit","Within limit"))</f>
        <v/>
      </c>
      <c r="M24" s="18" t="str">
        <f aca="false">IF(B24="","",IF(AND(H24="Yes",I24="Yes",J24="Yes",K24&lt;&gt;"No",L24&lt;&gt;"Over limit"),"Compliant",IF(OR(H24="",I24="",J24=""),"Incomplete","Action needed")))</f>
        <v/>
      </c>
      <c r="N24" s="10"/>
    </row>
    <row r="25" customFormat="false" ht="15" hidden="false" customHeight="false" outlineLevel="0" collapsed="false">
      <c r="A25" s="10"/>
      <c r="B25" s="10"/>
      <c r="C25" s="10"/>
      <c r="D25" s="10"/>
      <c r="E25" s="29"/>
      <c r="F25" s="29"/>
      <c r="G25" s="24"/>
      <c r="H25" s="24"/>
      <c r="I25" s="24"/>
      <c r="J25" s="24"/>
      <c r="K25" s="24"/>
      <c r="L25" s="18" t="str">
        <f aca="false">IF(OR(E25="",F25=""),"",IF(E25&gt;F25,"Over limit","Within limit"))</f>
        <v/>
      </c>
      <c r="M25" s="18" t="str">
        <f aca="false">IF(B25="","",IF(AND(H25="Yes",I25="Yes",J25="Yes",K25&lt;&gt;"No",L25&lt;&gt;"Over limit"),"Compliant",IF(OR(H25="",I25="",J25=""),"Incomplete","Action needed")))</f>
        <v/>
      </c>
      <c r="N25" s="10"/>
    </row>
    <row r="26" customFormat="false" ht="15" hidden="false" customHeight="false" outlineLevel="0" collapsed="false">
      <c r="A26" s="10"/>
      <c r="B26" s="10"/>
      <c r="C26" s="10"/>
      <c r="D26" s="10"/>
      <c r="E26" s="29"/>
      <c r="F26" s="29"/>
      <c r="G26" s="24"/>
      <c r="H26" s="24"/>
      <c r="I26" s="24"/>
      <c r="J26" s="24"/>
      <c r="K26" s="24"/>
      <c r="L26" s="18" t="str">
        <f aca="false">IF(OR(E26="",F26=""),"",IF(E26&gt;F26,"Over limit","Within limit"))</f>
        <v/>
      </c>
      <c r="M26" s="18" t="str">
        <f aca="false">IF(B26="","",IF(AND(H26="Yes",I26="Yes",J26="Yes",K26&lt;&gt;"No",L26&lt;&gt;"Over limit"),"Compliant",IF(OR(H26="",I26="",J26=""),"Incomplete","Action needed")))</f>
        <v/>
      </c>
      <c r="N26" s="10"/>
    </row>
    <row r="27" customFormat="false" ht="15" hidden="false" customHeight="false" outlineLevel="0" collapsed="false">
      <c r="A27" s="10"/>
      <c r="B27" s="10"/>
      <c r="C27" s="10"/>
      <c r="D27" s="10"/>
      <c r="E27" s="29"/>
      <c r="F27" s="29"/>
      <c r="G27" s="24"/>
      <c r="H27" s="24"/>
      <c r="I27" s="24"/>
      <c r="J27" s="24"/>
      <c r="K27" s="24"/>
      <c r="L27" s="18" t="str">
        <f aca="false">IF(OR(E27="",F27=""),"",IF(E27&gt;F27,"Over limit","Within limit"))</f>
        <v/>
      </c>
      <c r="M27" s="18" t="str">
        <f aca="false">IF(B27="","",IF(AND(H27="Yes",I27="Yes",J27="Yes",K27&lt;&gt;"No",L27&lt;&gt;"Over limit"),"Compliant",IF(OR(H27="",I27="",J27=""),"Incomplete","Action needed")))</f>
        <v/>
      </c>
      <c r="N27" s="10"/>
    </row>
    <row r="28" customFormat="false" ht="15" hidden="false" customHeight="false" outlineLevel="0" collapsed="false">
      <c r="A28" s="10"/>
      <c r="B28" s="10"/>
      <c r="C28" s="10"/>
      <c r="D28" s="10"/>
      <c r="E28" s="29"/>
      <c r="F28" s="29"/>
      <c r="G28" s="24"/>
      <c r="H28" s="24"/>
      <c r="I28" s="24"/>
      <c r="J28" s="24"/>
      <c r="K28" s="24"/>
      <c r="L28" s="18" t="str">
        <f aca="false">IF(OR(E28="",F28=""),"",IF(E28&gt;F28,"Over limit","Within limit"))</f>
        <v/>
      </c>
      <c r="M28" s="18" t="str">
        <f aca="false">IF(B28="","",IF(AND(H28="Yes",I28="Yes",J28="Yes",K28&lt;&gt;"No",L28&lt;&gt;"Over limit"),"Compliant",IF(OR(H28="",I28="",J28=""),"Incomplete","Action needed")))</f>
        <v/>
      </c>
      <c r="N28" s="10"/>
    </row>
    <row r="29" customFormat="false" ht="15" hidden="false" customHeight="false" outlineLevel="0" collapsed="false">
      <c r="A29" s="10"/>
      <c r="B29" s="10"/>
      <c r="C29" s="10"/>
      <c r="D29" s="10"/>
      <c r="E29" s="29"/>
      <c r="F29" s="29"/>
      <c r="G29" s="24"/>
      <c r="H29" s="24"/>
      <c r="I29" s="24"/>
      <c r="J29" s="24"/>
      <c r="K29" s="24"/>
      <c r="L29" s="18" t="str">
        <f aca="false">IF(OR(E29="",F29=""),"",IF(E29&gt;F29,"Over limit","Within limit"))</f>
        <v/>
      </c>
      <c r="M29" s="18" t="str">
        <f aca="false">IF(B29="","",IF(AND(H29="Yes",I29="Yes",J29="Yes",K29&lt;&gt;"No",L29&lt;&gt;"Over limit"),"Compliant",IF(OR(H29="",I29="",J29=""),"Incomplete","Action needed")))</f>
        <v/>
      </c>
      <c r="N29" s="10"/>
    </row>
    <row r="30" customFormat="false" ht="15" hidden="false" customHeight="false" outlineLevel="0" collapsed="false">
      <c r="A30" s="10"/>
      <c r="B30" s="10"/>
      <c r="C30" s="10"/>
      <c r="D30" s="10"/>
      <c r="E30" s="29"/>
      <c r="F30" s="29"/>
      <c r="G30" s="24"/>
      <c r="H30" s="24"/>
      <c r="I30" s="24"/>
      <c r="J30" s="24"/>
      <c r="K30" s="24"/>
      <c r="L30" s="18" t="str">
        <f aca="false">IF(OR(E30="",F30=""),"",IF(E30&gt;F30,"Over limit","Within limit"))</f>
        <v/>
      </c>
      <c r="M30" s="18" t="str">
        <f aca="false">IF(B30="","",IF(AND(H30="Yes",I30="Yes",J30="Yes",K30&lt;&gt;"No",L30&lt;&gt;"Over limit"),"Compliant",IF(OR(H30="",I30="",J30=""),"Incomplete","Action needed")))</f>
        <v/>
      </c>
      <c r="N30" s="10"/>
    </row>
    <row r="31" customFormat="false" ht="15" hidden="false" customHeight="false" outlineLevel="0" collapsed="false">
      <c r="A31" s="10"/>
      <c r="B31" s="10"/>
      <c r="C31" s="10"/>
      <c r="D31" s="10"/>
      <c r="E31" s="29"/>
      <c r="F31" s="29"/>
      <c r="G31" s="24"/>
      <c r="H31" s="24"/>
      <c r="I31" s="24"/>
      <c r="J31" s="24"/>
      <c r="K31" s="24"/>
      <c r="L31" s="18" t="str">
        <f aca="false">IF(OR(E31="",F31=""),"",IF(E31&gt;F31,"Over limit","Within limit"))</f>
        <v/>
      </c>
      <c r="M31" s="18" t="str">
        <f aca="false">IF(B31="","",IF(AND(H31="Yes",I31="Yes",J31="Yes",K31&lt;&gt;"No",L31&lt;&gt;"Over limit"),"Compliant",IF(OR(H31="",I31="",J31=""),"Incomplete","Action needed")))</f>
        <v/>
      </c>
      <c r="N31" s="10"/>
    </row>
    <row r="32" customFormat="false" ht="15" hidden="false" customHeight="false" outlineLevel="0" collapsed="false">
      <c r="A32" s="10"/>
      <c r="B32" s="10"/>
      <c r="C32" s="10"/>
      <c r="D32" s="10"/>
      <c r="E32" s="29"/>
      <c r="F32" s="29"/>
      <c r="G32" s="24"/>
      <c r="H32" s="24"/>
      <c r="I32" s="24"/>
      <c r="J32" s="24"/>
      <c r="K32" s="24"/>
      <c r="L32" s="18" t="str">
        <f aca="false">IF(OR(E32="",F32=""),"",IF(E32&gt;F32,"Over limit","Within limit"))</f>
        <v/>
      </c>
      <c r="M32" s="18" t="str">
        <f aca="false">IF(B32="","",IF(AND(H32="Yes",I32="Yes",J32="Yes",K32&lt;&gt;"No",L32&lt;&gt;"Over limit"),"Compliant",IF(OR(H32="",I32="",J32=""),"Incomplete","Action needed")))</f>
        <v/>
      </c>
      <c r="N32" s="10"/>
    </row>
    <row r="33" customFormat="false" ht="15" hidden="false" customHeight="false" outlineLevel="0" collapsed="false">
      <c r="A33" s="10"/>
      <c r="B33" s="10"/>
      <c r="C33" s="10"/>
      <c r="D33" s="10"/>
      <c r="E33" s="29"/>
      <c r="F33" s="29"/>
      <c r="G33" s="24"/>
      <c r="H33" s="24"/>
      <c r="I33" s="24"/>
      <c r="J33" s="24"/>
      <c r="K33" s="24"/>
      <c r="L33" s="18" t="str">
        <f aca="false">IF(OR(E33="",F33=""),"",IF(E33&gt;F33,"Over limit","Within limit"))</f>
        <v/>
      </c>
      <c r="M33" s="18" t="str">
        <f aca="false">IF(B33="","",IF(AND(H33="Yes",I33="Yes",J33="Yes",K33&lt;&gt;"No",L33&lt;&gt;"Over limit"),"Compliant",IF(OR(H33="",I33="",J33=""),"Incomplete","Action needed")))</f>
        <v/>
      </c>
      <c r="N33" s="10"/>
    </row>
    <row r="34" customFormat="false" ht="15" hidden="false" customHeight="false" outlineLevel="0" collapsed="false">
      <c r="A34" s="10"/>
      <c r="B34" s="10"/>
      <c r="C34" s="10"/>
      <c r="D34" s="10"/>
      <c r="E34" s="29"/>
      <c r="F34" s="29"/>
      <c r="G34" s="24"/>
      <c r="H34" s="24"/>
      <c r="I34" s="24"/>
      <c r="J34" s="24"/>
      <c r="K34" s="24"/>
      <c r="L34" s="18" t="str">
        <f aca="false">IF(OR(E34="",F34=""),"",IF(E34&gt;F34,"Over limit","Within limit"))</f>
        <v/>
      </c>
      <c r="M34" s="18" t="str">
        <f aca="false">IF(B34="","",IF(AND(H34="Yes",I34="Yes",J34="Yes",K34&lt;&gt;"No",L34&lt;&gt;"Over limit"),"Compliant",IF(OR(H34="",I34="",J34=""),"Incomplete","Action needed")))</f>
        <v/>
      </c>
      <c r="N34" s="10"/>
    </row>
    <row r="35" customFormat="false" ht="15" hidden="false" customHeight="false" outlineLevel="0" collapsed="false">
      <c r="A35" s="10"/>
      <c r="B35" s="10"/>
      <c r="C35" s="10"/>
      <c r="D35" s="10"/>
      <c r="E35" s="29"/>
      <c r="F35" s="29"/>
      <c r="G35" s="24"/>
      <c r="H35" s="24"/>
      <c r="I35" s="24"/>
      <c r="J35" s="24"/>
      <c r="K35" s="24"/>
      <c r="L35" s="18" t="str">
        <f aca="false">IF(OR(E35="",F35=""),"",IF(E35&gt;F35,"Over limit","Within limit"))</f>
        <v/>
      </c>
      <c r="M35" s="18" t="str">
        <f aca="false">IF(B35="","",IF(AND(H35="Yes",I35="Yes",J35="Yes",K35&lt;&gt;"No",L35&lt;&gt;"Over limit"),"Compliant",IF(OR(H35="",I35="",J35=""),"Incomplete","Action needed")))</f>
        <v/>
      </c>
      <c r="N35" s="10"/>
    </row>
    <row r="36" customFormat="false" ht="15" hidden="false" customHeight="false" outlineLevel="0" collapsed="false">
      <c r="A36" s="10"/>
      <c r="B36" s="10"/>
      <c r="C36" s="10"/>
      <c r="D36" s="10"/>
      <c r="E36" s="29"/>
      <c r="F36" s="29"/>
      <c r="G36" s="24"/>
      <c r="H36" s="24"/>
      <c r="I36" s="24"/>
      <c r="J36" s="24"/>
      <c r="K36" s="24"/>
      <c r="L36" s="18" t="str">
        <f aca="false">IF(OR(E36="",F36=""),"",IF(E36&gt;F36,"Over limit","Within limit"))</f>
        <v/>
      </c>
      <c r="M36" s="18" t="str">
        <f aca="false">IF(B36="","",IF(AND(H36="Yes",I36="Yes",J36="Yes",K36&lt;&gt;"No",L36&lt;&gt;"Over limit"),"Compliant",IF(OR(H36="",I36="",J36=""),"Incomplete","Action needed")))</f>
        <v/>
      </c>
      <c r="N36" s="10"/>
    </row>
    <row r="37" customFormat="false" ht="15" hidden="false" customHeight="false" outlineLevel="0" collapsed="false">
      <c r="A37" s="10"/>
      <c r="B37" s="10"/>
      <c r="C37" s="10"/>
      <c r="D37" s="10"/>
      <c r="E37" s="29"/>
      <c r="F37" s="29"/>
      <c r="G37" s="24"/>
      <c r="H37" s="24"/>
      <c r="I37" s="24"/>
      <c r="J37" s="24"/>
      <c r="K37" s="24"/>
      <c r="L37" s="18" t="str">
        <f aca="false">IF(OR(E37="",F37=""),"",IF(E37&gt;F37,"Over limit","Within limit"))</f>
        <v/>
      </c>
      <c r="M37" s="18" t="str">
        <f aca="false">IF(B37="","",IF(AND(H37="Yes",I37="Yes",J37="Yes",K37&lt;&gt;"No",L37&lt;&gt;"Over limit"),"Compliant",IF(OR(H37="",I37="",J37=""),"Incomplete","Action needed")))</f>
        <v/>
      </c>
      <c r="N37" s="10"/>
    </row>
    <row r="38" customFormat="false" ht="15" hidden="false" customHeight="false" outlineLevel="0" collapsed="false">
      <c r="A38" s="10"/>
      <c r="B38" s="10"/>
      <c r="C38" s="10"/>
      <c r="D38" s="10"/>
      <c r="E38" s="29"/>
      <c r="F38" s="29"/>
      <c r="G38" s="24"/>
      <c r="H38" s="24"/>
      <c r="I38" s="24"/>
      <c r="J38" s="24"/>
      <c r="K38" s="24"/>
      <c r="L38" s="18" t="str">
        <f aca="false">IF(OR(E38="",F38=""),"",IF(E38&gt;F38,"Over limit","Within limit"))</f>
        <v/>
      </c>
      <c r="M38" s="18" t="str">
        <f aca="false">IF(B38="","",IF(AND(H38="Yes",I38="Yes",J38="Yes",K38&lt;&gt;"No",L38&lt;&gt;"Over limit"),"Compliant",IF(OR(H38="",I38="",J38=""),"Incomplete","Action needed")))</f>
        <v/>
      </c>
      <c r="N38" s="10"/>
    </row>
    <row r="39" customFormat="false" ht="15" hidden="false" customHeight="false" outlineLevel="0" collapsed="false">
      <c r="A39" s="10"/>
      <c r="B39" s="10"/>
      <c r="C39" s="10"/>
      <c r="D39" s="10"/>
      <c r="E39" s="29"/>
      <c r="F39" s="29"/>
      <c r="G39" s="24"/>
      <c r="H39" s="24"/>
      <c r="I39" s="24"/>
      <c r="J39" s="24"/>
      <c r="K39" s="24"/>
      <c r="L39" s="18" t="str">
        <f aca="false">IF(OR(E39="",F39=""),"",IF(E39&gt;F39,"Over limit","Within limit"))</f>
        <v/>
      </c>
      <c r="M39" s="18" t="str">
        <f aca="false">IF(B39="","",IF(AND(H39="Yes",I39="Yes",J39="Yes",K39&lt;&gt;"No",L39&lt;&gt;"Over limit"),"Compliant",IF(OR(H39="",I39="",J39=""),"Incomplete","Action needed")))</f>
        <v/>
      </c>
      <c r="N39" s="10"/>
    </row>
    <row r="40" customFormat="false" ht="15" hidden="false" customHeight="false" outlineLevel="0" collapsed="false">
      <c r="A40" s="10"/>
      <c r="B40" s="10"/>
      <c r="C40" s="10"/>
      <c r="D40" s="10"/>
      <c r="E40" s="29"/>
      <c r="F40" s="29"/>
      <c r="G40" s="24"/>
      <c r="H40" s="24"/>
      <c r="I40" s="24"/>
      <c r="J40" s="24"/>
      <c r="K40" s="24"/>
      <c r="L40" s="18" t="str">
        <f aca="false">IF(OR(E40="",F40=""),"",IF(E40&gt;F40,"Over limit","Within limit"))</f>
        <v/>
      </c>
      <c r="M40" s="18" t="str">
        <f aca="false">IF(B40="","",IF(AND(H40="Yes",I40="Yes",J40="Yes",K40&lt;&gt;"No",L40&lt;&gt;"Over limit"),"Compliant",IF(OR(H40="",I40="",J40=""),"Incomplete","Action needed")))</f>
        <v/>
      </c>
      <c r="N40" s="10"/>
    </row>
    <row r="41" customFormat="false" ht="15" hidden="false" customHeight="false" outlineLevel="0" collapsed="false">
      <c r="A41" s="10"/>
      <c r="B41" s="10"/>
      <c r="C41" s="10"/>
      <c r="D41" s="10"/>
      <c r="E41" s="29"/>
      <c r="F41" s="29"/>
      <c r="G41" s="24"/>
      <c r="H41" s="24"/>
      <c r="I41" s="24"/>
      <c r="J41" s="24"/>
      <c r="K41" s="24"/>
      <c r="L41" s="18" t="str">
        <f aca="false">IF(OR(E41="",F41=""),"",IF(E41&gt;F41,"Over limit","Within limit"))</f>
        <v/>
      </c>
      <c r="M41" s="18" t="str">
        <f aca="false">IF(B41="","",IF(AND(H41="Yes",I41="Yes",J41="Yes",K41&lt;&gt;"No",L41&lt;&gt;"Over limit"),"Compliant",IF(OR(H41="",I41="",J41=""),"Incomplete","Action needed")))</f>
        <v/>
      </c>
      <c r="N41" s="10"/>
    </row>
    <row r="42" customFormat="false" ht="15" hidden="false" customHeight="false" outlineLevel="0" collapsed="false">
      <c r="A42" s="10"/>
      <c r="B42" s="10"/>
      <c r="C42" s="10"/>
      <c r="D42" s="10"/>
      <c r="E42" s="29"/>
      <c r="F42" s="29"/>
      <c r="G42" s="24"/>
      <c r="H42" s="24"/>
      <c r="I42" s="24"/>
      <c r="J42" s="24"/>
      <c r="K42" s="24"/>
      <c r="L42" s="18" t="str">
        <f aca="false">IF(OR(E42="",F42=""),"",IF(E42&gt;F42,"Over limit","Within limit"))</f>
        <v/>
      </c>
      <c r="M42" s="18" t="str">
        <f aca="false">IF(B42="","",IF(AND(H42="Yes",I42="Yes",J42="Yes",K42&lt;&gt;"No",L42&lt;&gt;"Over limit"),"Compliant",IF(OR(H42="",I42="",J42=""),"Incomplete","Action needed")))</f>
        <v/>
      </c>
      <c r="N42" s="10"/>
    </row>
    <row r="43" customFormat="false" ht="15" hidden="false" customHeight="false" outlineLevel="0" collapsed="false">
      <c r="A43" s="10"/>
      <c r="B43" s="10"/>
      <c r="C43" s="10"/>
      <c r="D43" s="10"/>
      <c r="E43" s="29"/>
      <c r="F43" s="29"/>
      <c r="G43" s="24"/>
      <c r="H43" s="24"/>
      <c r="I43" s="24"/>
      <c r="J43" s="24"/>
      <c r="K43" s="24"/>
      <c r="L43" s="18" t="str">
        <f aca="false">IF(OR(E43="",F43=""),"",IF(E43&gt;F43,"Over limit","Within limit"))</f>
        <v/>
      </c>
      <c r="M43" s="18" t="str">
        <f aca="false">IF(B43="","",IF(AND(H43="Yes",I43="Yes",J43="Yes",K43&lt;&gt;"No",L43&lt;&gt;"Over limit"),"Compliant",IF(OR(H43="",I43="",J43=""),"Incomplete","Action needed")))</f>
        <v/>
      </c>
      <c r="N43" s="10"/>
    </row>
    <row r="44" customFormat="false" ht="15" hidden="false" customHeight="false" outlineLevel="0" collapsed="false">
      <c r="A44" s="10"/>
      <c r="B44" s="10"/>
      <c r="C44" s="10"/>
      <c r="D44" s="10"/>
      <c r="E44" s="29"/>
      <c r="F44" s="29"/>
      <c r="G44" s="24"/>
      <c r="H44" s="24"/>
      <c r="I44" s="24"/>
      <c r="J44" s="24"/>
      <c r="K44" s="24"/>
      <c r="L44" s="18" t="str">
        <f aca="false">IF(OR(E44="",F44=""),"",IF(E44&gt;F44,"Over limit","Within limit"))</f>
        <v/>
      </c>
      <c r="M44" s="18" t="str">
        <f aca="false">IF(B44="","",IF(AND(H44="Yes",I44="Yes",J44="Yes",K44&lt;&gt;"No",L44&lt;&gt;"Over limit"),"Compliant",IF(OR(H44="",I44="",J44=""),"Incomplete","Action needed")))</f>
        <v/>
      </c>
      <c r="N44" s="10"/>
    </row>
    <row r="45" customFormat="false" ht="15" hidden="false" customHeight="false" outlineLevel="0" collapsed="false">
      <c r="A45" s="10"/>
      <c r="B45" s="10"/>
      <c r="C45" s="10"/>
      <c r="D45" s="10"/>
      <c r="E45" s="29"/>
      <c r="F45" s="29"/>
      <c r="G45" s="24"/>
      <c r="H45" s="24"/>
      <c r="I45" s="24"/>
      <c r="J45" s="24"/>
      <c r="K45" s="24"/>
      <c r="L45" s="18" t="str">
        <f aca="false">IF(OR(E45="",F45=""),"",IF(E45&gt;F45,"Over limit","Within limit"))</f>
        <v/>
      </c>
      <c r="M45" s="18" t="str">
        <f aca="false">IF(B45="","",IF(AND(H45="Yes",I45="Yes",J45="Yes",K45&lt;&gt;"No",L45&lt;&gt;"Over limit"),"Compliant",IF(OR(H45="",I45="",J45=""),"Incomplete","Action needed")))</f>
        <v/>
      </c>
      <c r="N45" s="10"/>
    </row>
    <row r="46" customFormat="false" ht="15" hidden="false" customHeight="false" outlineLevel="0" collapsed="false">
      <c r="A46" s="10"/>
      <c r="B46" s="10"/>
      <c r="C46" s="10"/>
      <c r="D46" s="10"/>
      <c r="E46" s="29"/>
      <c r="F46" s="29"/>
      <c r="G46" s="24"/>
      <c r="H46" s="24"/>
      <c r="I46" s="24"/>
      <c r="J46" s="24"/>
      <c r="K46" s="24"/>
      <c r="L46" s="18" t="str">
        <f aca="false">IF(OR(E46="",F46=""),"",IF(E46&gt;F46,"Over limit","Within limit"))</f>
        <v/>
      </c>
      <c r="M46" s="18" t="str">
        <f aca="false">IF(B46="","",IF(AND(H46="Yes",I46="Yes",J46="Yes",K46&lt;&gt;"No",L46&lt;&gt;"Over limit"),"Compliant",IF(OR(H46="",I46="",J46=""),"Incomplete","Action needed")))</f>
        <v/>
      </c>
      <c r="N46" s="10"/>
    </row>
    <row r="47" customFormat="false" ht="15" hidden="false" customHeight="false" outlineLevel="0" collapsed="false">
      <c r="A47" s="10"/>
      <c r="B47" s="10"/>
      <c r="C47" s="10"/>
      <c r="D47" s="10"/>
      <c r="E47" s="29"/>
      <c r="F47" s="29"/>
      <c r="G47" s="24"/>
      <c r="H47" s="24"/>
      <c r="I47" s="24"/>
      <c r="J47" s="24"/>
      <c r="K47" s="24"/>
      <c r="L47" s="18" t="str">
        <f aca="false">IF(OR(E47="",F47=""),"",IF(E47&gt;F47,"Over limit","Within limit"))</f>
        <v/>
      </c>
      <c r="M47" s="18" t="str">
        <f aca="false">IF(B47="","",IF(AND(H47="Yes",I47="Yes",J47="Yes",K47&lt;&gt;"No",L47&lt;&gt;"Over limit"),"Compliant",IF(OR(H47="",I47="",J47=""),"Incomplete","Action needed")))</f>
        <v/>
      </c>
      <c r="N47" s="10"/>
    </row>
    <row r="48" customFormat="false" ht="15" hidden="false" customHeight="false" outlineLevel="0" collapsed="false">
      <c r="A48" s="10"/>
      <c r="B48" s="10"/>
      <c r="C48" s="10"/>
      <c r="D48" s="10"/>
      <c r="E48" s="29"/>
      <c r="F48" s="29"/>
      <c r="G48" s="24"/>
      <c r="H48" s="24"/>
      <c r="I48" s="24"/>
      <c r="J48" s="24"/>
      <c r="K48" s="24"/>
      <c r="L48" s="18" t="str">
        <f aca="false">IF(OR(E48="",F48=""),"",IF(E48&gt;F48,"Over limit","Within limit"))</f>
        <v/>
      </c>
      <c r="M48" s="18" t="str">
        <f aca="false">IF(B48="","",IF(AND(H48="Yes",I48="Yes",J48="Yes",K48&lt;&gt;"No",L48&lt;&gt;"Over limit"),"Compliant",IF(OR(H48="",I48="",J48=""),"Incomplete","Action needed")))</f>
        <v/>
      </c>
      <c r="N48" s="10"/>
    </row>
    <row r="49" customFormat="false" ht="15" hidden="false" customHeight="false" outlineLevel="0" collapsed="false">
      <c r="A49" s="10"/>
      <c r="B49" s="10"/>
      <c r="C49" s="10"/>
      <c r="D49" s="10"/>
      <c r="E49" s="29"/>
      <c r="F49" s="29"/>
      <c r="G49" s="24"/>
      <c r="H49" s="24"/>
      <c r="I49" s="24"/>
      <c r="J49" s="24"/>
      <c r="K49" s="24"/>
      <c r="L49" s="18" t="str">
        <f aca="false">IF(OR(E49="",F49=""),"",IF(E49&gt;F49,"Over limit","Within limit"))</f>
        <v/>
      </c>
      <c r="M49" s="18" t="str">
        <f aca="false">IF(B49="","",IF(AND(H49="Yes",I49="Yes",J49="Yes",K49&lt;&gt;"No",L49&lt;&gt;"Over limit"),"Compliant",IF(OR(H49="",I49="",J49=""),"Incomplete","Action needed")))</f>
        <v/>
      </c>
      <c r="N49" s="10"/>
    </row>
    <row r="50" customFormat="false" ht="15" hidden="false" customHeight="false" outlineLevel="0" collapsed="false">
      <c r="A50" s="10"/>
      <c r="B50" s="10"/>
      <c r="C50" s="10"/>
      <c r="D50" s="10"/>
      <c r="E50" s="29"/>
      <c r="F50" s="29"/>
      <c r="G50" s="24"/>
      <c r="H50" s="24"/>
      <c r="I50" s="24"/>
      <c r="J50" s="24"/>
      <c r="K50" s="24"/>
      <c r="L50" s="18" t="str">
        <f aca="false">IF(OR(E50="",F50=""),"",IF(E50&gt;F50,"Over limit","Within limit"))</f>
        <v/>
      </c>
      <c r="M50" s="18" t="str">
        <f aca="false">IF(B50="","",IF(AND(H50="Yes",I50="Yes",J50="Yes",K50&lt;&gt;"No",L50&lt;&gt;"Over limit"),"Compliant",IF(OR(H50="",I50="",J50=""),"Incomplete","Action needed")))</f>
        <v/>
      </c>
      <c r="N50" s="10"/>
    </row>
    <row r="51" customFormat="false" ht="15" hidden="false" customHeight="false" outlineLevel="0" collapsed="false">
      <c r="A51" s="10"/>
      <c r="B51" s="10"/>
      <c r="C51" s="10"/>
      <c r="D51" s="10"/>
      <c r="E51" s="29"/>
      <c r="F51" s="29"/>
      <c r="G51" s="24"/>
      <c r="H51" s="24"/>
      <c r="I51" s="24"/>
      <c r="J51" s="24"/>
      <c r="K51" s="24"/>
      <c r="L51" s="18" t="str">
        <f aca="false">IF(OR(E51="",F51=""),"",IF(E51&gt;F51,"Over limit","Within limit"))</f>
        <v/>
      </c>
      <c r="M51" s="18" t="str">
        <f aca="false">IF(B51="","",IF(AND(H51="Yes",I51="Yes",J51="Yes",K51&lt;&gt;"No",L51&lt;&gt;"Over limit"),"Compliant",IF(OR(H51="",I51="",J51=""),"Incomplete","Action needed")))</f>
        <v/>
      </c>
      <c r="N51" s="10"/>
    </row>
    <row r="52" customFormat="false" ht="15" hidden="false" customHeight="false" outlineLevel="0" collapsed="false">
      <c r="A52" s="10"/>
      <c r="B52" s="10"/>
      <c r="C52" s="10"/>
      <c r="D52" s="10"/>
      <c r="E52" s="29"/>
      <c r="F52" s="29"/>
      <c r="G52" s="24"/>
      <c r="H52" s="24"/>
      <c r="I52" s="24"/>
      <c r="J52" s="24"/>
      <c r="K52" s="24"/>
      <c r="L52" s="18" t="str">
        <f aca="false">IF(OR(E52="",F52=""),"",IF(E52&gt;F52,"Over limit","Within limit"))</f>
        <v/>
      </c>
      <c r="M52" s="18" t="str">
        <f aca="false">IF(B52="","",IF(AND(H52="Yes",I52="Yes",J52="Yes",K52&lt;&gt;"No",L52&lt;&gt;"Over limit"),"Compliant",IF(OR(H52="",I52="",J52=""),"Incomplete","Action needed")))</f>
        <v/>
      </c>
      <c r="N52" s="10"/>
    </row>
    <row r="53" customFormat="false" ht="15" hidden="false" customHeight="false" outlineLevel="0" collapsed="false">
      <c r="A53" s="10"/>
      <c r="B53" s="10"/>
      <c r="C53" s="10"/>
      <c r="D53" s="10"/>
      <c r="E53" s="29"/>
      <c r="F53" s="29"/>
      <c r="G53" s="24"/>
      <c r="H53" s="24"/>
      <c r="I53" s="24"/>
      <c r="J53" s="24"/>
      <c r="K53" s="24"/>
      <c r="L53" s="18" t="str">
        <f aca="false">IF(OR(E53="",F53=""),"",IF(E53&gt;F53,"Over limit","Within limit"))</f>
        <v/>
      </c>
      <c r="M53" s="18" t="str">
        <f aca="false">IF(B53="","",IF(AND(H53="Yes",I53="Yes",J53="Yes",K53&lt;&gt;"No",L53&lt;&gt;"Over limit"),"Compliant",IF(OR(H53="",I53="",J53=""),"Incomplete","Action needed")))</f>
        <v/>
      </c>
      <c r="N53" s="10"/>
    </row>
    <row r="54" customFormat="false" ht="15" hidden="false" customHeight="false" outlineLevel="0" collapsed="false">
      <c r="A54" s="10"/>
      <c r="B54" s="10"/>
      <c r="C54" s="10"/>
      <c r="D54" s="10"/>
      <c r="E54" s="29"/>
      <c r="F54" s="29"/>
      <c r="G54" s="24"/>
      <c r="H54" s="24"/>
      <c r="I54" s="24"/>
      <c r="J54" s="24"/>
      <c r="K54" s="24"/>
      <c r="L54" s="18" t="str">
        <f aca="false">IF(OR(E54="",F54=""),"",IF(E54&gt;F54,"Over limit","Within limit"))</f>
        <v/>
      </c>
      <c r="M54" s="18" t="str">
        <f aca="false">IF(B54="","",IF(AND(H54="Yes",I54="Yes",J54="Yes",K54&lt;&gt;"No",L54&lt;&gt;"Over limit"),"Compliant",IF(OR(H54="",I54="",J54=""),"Incomplete","Action needed")))</f>
        <v/>
      </c>
      <c r="N54" s="10"/>
    </row>
    <row r="55" customFormat="false" ht="15" hidden="false" customHeight="false" outlineLevel="0" collapsed="false">
      <c r="A55" s="10"/>
      <c r="B55" s="10"/>
      <c r="C55" s="10"/>
      <c r="D55" s="10"/>
      <c r="E55" s="29"/>
      <c r="F55" s="29"/>
      <c r="G55" s="24"/>
      <c r="H55" s="24"/>
      <c r="I55" s="24"/>
      <c r="J55" s="24"/>
      <c r="K55" s="24"/>
      <c r="L55" s="18" t="str">
        <f aca="false">IF(OR(E55="",F55=""),"",IF(E55&gt;F55,"Over limit","Within limit"))</f>
        <v/>
      </c>
      <c r="M55" s="18" t="str">
        <f aca="false">IF(B55="","",IF(AND(H55="Yes",I55="Yes",J55="Yes",K55&lt;&gt;"No",L55&lt;&gt;"Over limit"),"Compliant",IF(OR(H55="",I55="",J55=""),"Incomplete","Action needed")))</f>
        <v/>
      </c>
      <c r="N55" s="10"/>
    </row>
    <row r="56" customFormat="false" ht="15" hidden="false" customHeight="false" outlineLevel="0" collapsed="false">
      <c r="A56" s="10"/>
      <c r="B56" s="10"/>
      <c r="C56" s="10"/>
      <c r="D56" s="10"/>
      <c r="E56" s="29"/>
      <c r="F56" s="29"/>
      <c r="G56" s="24"/>
      <c r="H56" s="24"/>
      <c r="I56" s="24"/>
      <c r="J56" s="24"/>
      <c r="K56" s="24"/>
      <c r="L56" s="18" t="str">
        <f aca="false">IF(OR(E56="",F56=""),"",IF(E56&gt;F56,"Over limit","Within limit"))</f>
        <v/>
      </c>
      <c r="M56" s="18" t="str">
        <f aca="false">IF(B56="","",IF(AND(H56="Yes",I56="Yes",J56="Yes",K56&lt;&gt;"No",L56&lt;&gt;"Over limit"),"Compliant",IF(OR(H56="",I56="",J56=""),"Incomplete","Action needed")))</f>
        <v/>
      </c>
      <c r="N56" s="10"/>
    </row>
    <row r="57" customFormat="false" ht="15" hidden="false" customHeight="false" outlineLevel="0" collapsed="false">
      <c r="A57" s="10"/>
      <c r="B57" s="10"/>
      <c r="C57" s="10"/>
      <c r="D57" s="10"/>
      <c r="E57" s="29"/>
      <c r="F57" s="29"/>
      <c r="G57" s="24"/>
      <c r="H57" s="24"/>
      <c r="I57" s="24"/>
      <c r="J57" s="24"/>
      <c r="K57" s="24"/>
      <c r="L57" s="18" t="str">
        <f aca="false">IF(OR(E57="",F57=""),"",IF(E57&gt;F57,"Over limit","Within limit"))</f>
        <v/>
      </c>
      <c r="M57" s="18" t="str">
        <f aca="false">IF(B57="","",IF(AND(H57="Yes",I57="Yes",J57="Yes",K57&lt;&gt;"No",L57&lt;&gt;"Over limit"),"Compliant",IF(OR(H57="",I57="",J57=""),"Incomplete","Action needed")))</f>
        <v/>
      </c>
      <c r="N57" s="10"/>
    </row>
    <row r="58" customFormat="false" ht="15" hidden="false" customHeight="false" outlineLevel="0" collapsed="false">
      <c r="A58" s="10"/>
      <c r="B58" s="10"/>
      <c r="C58" s="10"/>
      <c r="D58" s="10"/>
      <c r="E58" s="29"/>
      <c r="F58" s="29"/>
      <c r="G58" s="24"/>
      <c r="H58" s="24"/>
      <c r="I58" s="24"/>
      <c r="J58" s="24"/>
      <c r="K58" s="24"/>
      <c r="L58" s="18" t="str">
        <f aca="false">IF(OR(E58="",F58=""),"",IF(E58&gt;F58,"Over limit","Within limit"))</f>
        <v/>
      </c>
      <c r="M58" s="18" t="str">
        <f aca="false">IF(B58="","",IF(AND(H58="Yes",I58="Yes",J58="Yes",K58&lt;&gt;"No",L58&lt;&gt;"Over limit"),"Compliant",IF(OR(H58="",I58="",J58=""),"Incomplete","Action needed")))</f>
        <v/>
      </c>
      <c r="N58" s="10"/>
    </row>
    <row r="59" customFormat="false" ht="15" hidden="false" customHeight="false" outlineLevel="0" collapsed="false">
      <c r="A59" s="10"/>
      <c r="B59" s="10"/>
      <c r="C59" s="10"/>
      <c r="D59" s="10"/>
      <c r="E59" s="29"/>
      <c r="F59" s="29"/>
      <c r="G59" s="24"/>
      <c r="H59" s="24"/>
      <c r="I59" s="24"/>
      <c r="J59" s="24"/>
      <c r="K59" s="24"/>
      <c r="L59" s="18" t="str">
        <f aca="false">IF(OR(E59="",F59=""),"",IF(E59&gt;F59,"Over limit","Within limit"))</f>
        <v/>
      </c>
      <c r="M59" s="18" t="str">
        <f aca="false">IF(B59="","",IF(AND(H59="Yes",I59="Yes",J59="Yes",K59&lt;&gt;"No",L59&lt;&gt;"Over limit"),"Compliant",IF(OR(H59="",I59="",J59=""),"Incomplete","Action needed")))</f>
        <v/>
      </c>
      <c r="N59" s="10"/>
    </row>
    <row r="60" customFormat="false" ht="15" hidden="false" customHeight="false" outlineLevel="0" collapsed="false">
      <c r="A60" s="10"/>
      <c r="B60" s="10"/>
      <c r="C60" s="10"/>
      <c r="D60" s="10"/>
      <c r="E60" s="29"/>
      <c r="F60" s="29"/>
      <c r="G60" s="24"/>
      <c r="H60" s="24"/>
      <c r="I60" s="24"/>
      <c r="J60" s="24"/>
      <c r="K60" s="24"/>
      <c r="L60" s="18" t="str">
        <f aca="false">IF(OR(E60="",F60=""),"",IF(E60&gt;F60,"Over limit","Within limit"))</f>
        <v/>
      </c>
      <c r="M60" s="18" t="str">
        <f aca="false">IF(B60="","",IF(AND(H60="Yes",I60="Yes",J60="Yes",K60&lt;&gt;"No",L60&lt;&gt;"Over limit"),"Compliant",IF(OR(H60="",I60="",J60=""),"Incomplete","Action needed")))</f>
        <v/>
      </c>
      <c r="N60" s="10"/>
    </row>
    <row r="61" customFormat="false" ht="15" hidden="false" customHeight="false" outlineLevel="0" collapsed="false">
      <c r="A61" s="10"/>
      <c r="B61" s="10"/>
      <c r="C61" s="10"/>
      <c r="D61" s="10"/>
      <c r="E61" s="29"/>
      <c r="F61" s="29"/>
      <c r="G61" s="24"/>
      <c r="H61" s="24"/>
      <c r="I61" s="24"/>
      <c r="J61" s="24"/>
      <c r="K61" s="24"/>
      <c r="L61" s="18" t="str">
        <f aca="false">IF(OR(E61="",F61=""),"",IF(E61&gt;F61,"Over limit","Within limit"))</f>
        <v/>
      </c>
      <c r="M61" s="18" t="str">
        <f aca="false">IF(B61="","",IF(AND(H61="Yes",I61="Yes",J61="Yes",K61&lt;&gt;"No",L61&lt;&gt;"Over limit"),"Compliant",IF(OR(H61="",I61="",J61=""),"Incomplete","Action needed")))</f>
        <v/>
      </c>
      <c r="N61" s="10"/>
    </row>
    <row r="62" customFormat="false" ht="15" hidden="false" customHeight="false" outlineLevel="0" collapsed="false">
      <c r="A62" s="10"/>
      <c r="B62" s="10"/>
      <c r="C62" s="10"/>
      <c r="D62" s="10"/>
      <c r="E62" s="29"/>
      <c r="F62" s="29"/>
      <c r="G62" s="24"/>
      <c r="H62" s="24"/>
      <c r="I62" s="24"/>
      <c r="J62" s="24"/>
      <c r="K62" s="24"/>
      <c r="L62" s="18" t="str">
        <f aca="false">IF(OR(E62="",F62=""),"",IF(E62&gt;F62,"Over limit","Within limit"))</f>
        <v/>
      </c>
      <c r="M62" s="18" t="str">
        <f aca="false">IF(B62="","",IF(AND(H62="Yes",I62="Yes",J62="Yes",K62&lt;&gt;"No",L62&lt;&gt;"Over limit"),"Compliant",IF(OR(H62="",I62="",J62=""),"Incomplete","Action needed")))</f>
        <v/>
      </c>
      <c r="N62" s="10"/>
    </row>
    <row r="63" customFormat="false" ht="15" hidden="false" customHeight="false" outlineLevel="0" collapsed="false">
      <c r="A63" s="10"/>
      <c r="B63" s="10"/>
      <c r="C63" s="10"/>
      <c r="D63" s="10"/>
      <c r="E63" s="29"/>
      <c r="F63" s="29"/>
      <c r="G63" s="24"/>
      <c r="H63" s="24"/>
      <c r="I63" s="24"/>
      <c r="J63" s="24"/>
      <c r="K63" s="24"/>
      <c r="L63" s="18" t="str">
        <f aca="false">IF(OR(E63="",F63=""),"",IF(E63&gt;F63,"Over limit","Within limit"))</f>
        <v/>
      </c>
      <c r="M63" s="18" t="str">
        <f aca="false">IF(B63="","",IF(AND(H63="Yes",I63="Yes",J63="Yes",K63&lt;&gt;"No",L63&lt;&gt;"Over limit"),"Compliant",IF(OR(H63="",I63="",J63=""),"Incomplete","Action needed")))</f>
        <v/>
      </c>
      <c r="N63" s="10"/>
    </row>
    <row r="64" customFormat="false" ht="15" hidden="false" customHeight="false" outlineLevel="0" collapsed="false">
      <c r="A64" s="10"/>
      <c r="B64" s="10"/>
      <c r="C64" s="10"/>
      <c r="D64" s="10"/>
      <c r="E64" s="29"/>
      <c r="F64" s="29"/>
      <c r="G64" s="24"/>
      <c r="H64" s="24"/>
      <c r="I64" s="24"/>
      <c r="J64" s="24"/>
      <c r="K64" s="24"/>
      <c r="L64" s="18" t="str">
        <f aca="false">IF(OR(E64="",F64=""),"",IF(E64&gt;F64,"Over limit","Within limit"))</f>
        <v/>
      </c>
      <c r="M64" s="18" t="str">
        <f aca="false">IF(B64="","",IF(AND(H64="Yes",I64="Yes",J64="Yes",K64&lt;&gt;"No",L64&lt;&gt;"Over limit"),"Compliant",IF(OR(H64="",I64="",J64=""),"Incomplete","Action needed")))</f>
        <v/>
      </c>
      <c r="N64" s="10"/>
    </row>
    <row r="65" customFormat="false" ht="15" hidden="false" customHeight="false" outlineLevel="0" collapsed="false">
      <c r="A65" s="10"/>
      <c r="B65" s="10"/>
      <c r="C65" s="10"/>
      <c r="D65" s="10"/>
      <c r="E65" s="29"/>
      <c r="F65" s="29"/>
      <c r="G65" s="24"/>
      <c r="H65" s="24"/>
      <c r="I65" s="24"/>
      <c r="J65" s="24"/>
      <c r="K65" s="24"/>
      <c r="L65" s="18" t="str">
        <f aca="false">IF(OR(E65="",F65=""),"",IF(E65&gt;F65,"Over limit","Within limit"))</f>
        <v/>
      </c>
      <c r="M65" s="18" t="str">
        <f aca="false">IF(B65="","",IF(AND(H65="Yes",I65="Yes",J65="Yes",K65&lt;&gt;"No",L65&lt;&gt;"Over limit"),"Compliant",IF(OR(H65="",I65="",J65=""),"Incomplete","Action needed")))</f>
        <v/>
      </c>
      <c r="N65" s="10"/>
    </row>
    <row r="66" customFormat="false" ht="15" hidden="false" customHeight="false" outlineLevel="0" collapsed="false">
      <c r="A66" s="10"/>
      <c r="B66" s="10"/>
      <c r="C66" s="10"/>
      <c r="D66" s="10"/>
      <c r="E66" s="29"/>
      <c r="F66" s="29"/>
      <c r="G66" s="24"/>
      <c r="H66" s="24"/>
      <c r="I66" s="24"/>
      <c r="J66" s="24"/>
      <c r="K66" s="24"/>
      <c r="L66" s="18" t="str">
        <f aca="false">IF(OR(E66="",F66=""),"",IF(E66&gt;F66,"Over limit","Within limit"))</f>
        <v/>
      </c>
      <c r="M66" s="18" t="str">
        <f aca="false">IF(B66="","",IF(AND(H66="Yes",I66="Yes",J66="Yes",K66&lt;&gt;"No",L66&lt;&gt;"Over limit"),"Compliant",IF(OR(H66="",I66="",J66=""),"Incomplete","Action needed")))</f>
        <v/>
      </c>
      <c r="N66" s="10"/>
    </row>
    <row r="67" customFormat="false" ht="15" hidden="false" customHeight="false" outlineLevel="0" collapsed="false">
      <c r="A67" s="10"/>
      <c r="B67" s="10"/>
      <c r="C67" s="10"/>
      <c r="D67" s="10"/>
      <c r="E67" s="29"/>
      <c r="F67" s="29"/>
      <c r="G67" s="24"/>
      <c r="H67" s="24"/>
      <c r="I67" s="24"/>
      <c r="J67" s="24"/>
      <c r="K67" s="24"/>
      <c r="L67" s="18" t="str">
        <f aca="false">IF(OR(E67="",F67=""),"",IF(E67&gt;F67,"Over limit","Within limit"))</f>
        <v/>
      </c>
      <c r="M67" s="18" t="str">
        <f aca="false">IF(B67="","",IF(AND(H67="Yes",I67="Yes",J67="Yes",K67&lt;&gt;"No",L67&lt;&gt;"Over limit"),"Compliant",IF(OR(H67="",I67="",J67=""),"Incomplete","Action needed")))</f>
        <v/>
      </c>
      <c r="N67" s="10"/>
    </row>
    <row r="68" customFormat="false" ht="15" hidden="false" customHeight="false" outlineLevel="0" collapsed="false">
      <c r="A68" s="10"/>
      <c r="B68" s="10"/>
      <c r="C68" s="10"/>
      <c r="D68" s="10"/>
      <c r="E68" s="29"/>
      <c r="F68" s="29"/>
      <c r="G68" s="24"/>
      <c r="H68" s="24"/>
      <c r="I68" s="24"/>
      <c r="J68" s="24"/>
      <c r="K68" s="24"/>
      <c r="L68" s="18" t="str">
        <f aca="false">IF(OR(E68="",F68=""),"",IF(E68&gt;F68,"Over limit","Within limit"))</f>
        <v/>
      </c>
      <c r="M68" s="18" t="str">
        <f aca="false">IF(B68="","",IF(AND(H68="Yes",I68="Yes",J68="Yes",K68&lt;&gt;"No",L68&lt;&gt;"Over limit"),"Compliant",IF(OR(H68="",I68="",J68=""),"Incomplete","Action needed")))</f>
        <v/>
      </c>
      <c r="N68" s="10"/>
    </row>
    <row r="69" customFormat="false" ht="15" hidden="false" customHeight="false" outlineLevel="0" collapsed="false">
      <c r="A69" s="10"/>
      <c r="B69" s="10"/>
      <c r="C69" s="10"/>
      <c r="D69" s="10"/>
      <c r="E69" s="29"/>
      <c r="F69" s="29"/>
      <c r="G69" s="24"/>
      <c r="H69" s="24"/>
      <c r="I69" s="24"/>
      <c r="J69" s="24"/>
      <c r="K69" s="24"/>
      <c r="L69" s="18" t="str">
        <f aca="false">IF(OR(E69="",F69=""),"",IF(E69&gt;F69,"Over limit","Within limit"))</f>
        <v/>
      </c>
      <c r="M69" s="18" t="str">
        <f aca="false">IF(B69="","",IF(AND(H69="Yes",I69="Yes",J69="Yes",K69&lt;&gt;"No",L69&lt;&gt;"Over limit"),"Compliant",IF(OR(H69="",I69="",J69=""),"Incomplete","Action needed")))</f>
        <v/>
      </c>
      <c r="N69" s="10"/>
    </row>
    <row r="70" customFormat="false" ht="15" hidden="false" customHeight="false" outlineLevel="0" collapsed="false">
      <c r="A70" s="10"/>
      <c r="B70" s="10"/>
      <c r="C70" s="10"/>
      <c r="D70" s="10"/>
      <c r="E70" s="29"/>
      <c r="F70" s="29"/>
      <c r="G70" s="24"/>
      <c r="H70" s="24"/>
      <c r="I70" s="24"/>
      <c r="J70" s="24"/>
      <c r="K70" s="24"/>
      <c r="L70" s="18" t="str">
        <f aca="false">IF(OR(E70="",F70=""),"",IF(E70&gt;F70,"Over limit","Within limit"))</f>
        <v/>
      </c>
      <c r="M70" s="18" t="str">
        <f aca="false">IF(B70="","",IF(AND(H70="Yes",I70="Yes",J70="Yes",K70&lt;&gt;"No",L70&lt;&gt;"Over limit"),"Compliant",IF(OR(H70="",I70="",J70=""),"Incomplete","Action needed")))</f>
        <v/>
      </c>
      <c r="N70" s="10"/>
    </row>
    <row r="71" customFormat="false" ht="15" hidden="false" customHeight="false" outlineLevel="0" collapsed="false">
      <c r="A71" s="10"/>
      <c r="B71" s="10"/>
      <c r="C71" s="10"/>
      <c r="D71" s="10"/>
      <c r="E71" s="29"/>
      <c r="F71" s="29"/>
      <c r="G71" s="24"/>
      <c r="H71" s="24"/>
      <c r="I71" s="24"/>
      <c r="J71" s="24"/>
      <c r="K71" s="24"/>
      <c r="L71" s="18" t="str">
        <f aca="false">IF(OR(E71="",F71=""),"",IF(E71&gt;F71,"Over limit","Within limit"))</f>
        <v/>
      </c>
      <c r="M71" s="18" t="str">
        <f aca="false">IF(B71="","",IF(AND(H71="Yes",I71="Yes",J71="Yes",K71&lt;&gt;"No",L71&lt;&gt;"Over limit"),"Compliant",IF(OR(H71="",I71="",J71=""),"Incomplete","Action needed")))</f>
        <v/>
      </c>
      <c r="N71" s="10"/>
    </row>
    <row r="72" customFormat="false" ht="15" hidden="false" customHeight="false" outlineLevel="0" collapsed="false">
      <c r="A72" s="10"/>
      <c r="B72" s="10"/>
      <c r="C72" s="10"/>
      <c r="D72" s="10"/>
      <c r="E72" s="29"/>
      <c r="F72" s="29"/>
      <c r="G72" s="24"/>
      <c r="H72" s="24"/>
      <c r="I72" s="24"/>
      <c r="J72" s="24"/>
      <c r="K72" s="24"/>
      <c r="L72" s="18" t="str">
        <f aca="false">IF(OR(E72="",F72=""),"",IF(E72&gt;F72,"Over limit","Within limit"))</f>
        <v/>
      </c>
      <c r="M72" s="18" t="str">
        <f aca="false">IF(B72="","",IF(AND(H72="Yes",I72="Yes",J72="Yes",K72&lt;&gt;"No",L72&lt;&gt;"Over limit"),"Compliant",IF(OR(H72="",I72="",J72=""),"Incomplete","Action needed")))</f>
        <v/>
      </c>
      <c r="N72" s="10"/>
    </row>
    <row r="73" customFormat="false" ht="15" hidden="false" customHeight="false" outlineLevel="0" collapsed="false">
      <c r="A73" s="10"/>
      <c r="B73" s="10"/>
      <c r="C73" s="10"/>
      <c r="D73" s="10"/>
      <c r="E73" s="29"/>
      <c r="F73" s="29"/>
      <c r="G73" s="24"/>
      <c r="H73" s="24"/>
      <c r="I73" s="24"/>
      <c r="J73" s="24"/>
      <c r="K73" s="24"/>
      <c r="L73" s="18" t="str">
        <f aca="false">IF(OR(E73="",F73=""),"",IF(E73&gt;F73,"Over limit","Within limit"))</f>
        <v/>
      </c>
      <c r="M73" s="18" t="str">
        <f aca="false">IF(B73="","",IF(AND(H73="Yes",I73="Yes",J73="Yes",K73&lt;&gt;"No",L73&lt;&gt;"Over limit"),"Compliant",IF(OR(H73="",I73="",J73=""),"Incomplete","Action needed")))</f>
        <v/>
      </c>
      <c r="N73" s="10"/>
    </row>
    <row r="74" customFormat="false" ht="15" hidden="false" customHeight="false" outlineLevel="0" collapsed="false">
      <c r="A74" s="10"/>
      <c r="B74" s="10"/>
      <c r="C74" s="10"/>
      <c r="D74" s="10"/>
      <c r="E74" s="29"/>
      <c r="F74" s="29"/>
      <c r="G74" s="24"/>
      <c r="H74" s="24"/>
      <c r="I74" s="24"/>
      <c r="J74" s="24"/>
      <c r="K74" s="24"/>
      <c r="L74" s="18" t="str">
        <f aca="false">IF(OR(E74="",F74=""),"",IF(E74&gt;F74,"Over limit","Within limit"))</f>
        <v/>
      </c>
      <c r="M74" s="18" t="str">
        <f aca="false">IF(B74="","",IF(AND(H74="Yes",I74="Yes",J74="Yes",K74&lt;&gt;"No",L74&lt;&gt;"Over limit"),"Compliant",IF(OR(H74="",I74="",J74=""),"Incomplete","Action needed")))</f>
        <v/>
      </c>
      <c r="N74" s="10"/>
    </row>
    <row r="75" customFormat="false" ht="15" hidden="false" customHeight="false" outlineLevel="0" collapsed="false">
      <c r="A75" s="10"/>
      <c r="B75" s="10"/>
      <c r="C75" s="10"/>
      <c r="D75" s="10"/>
      <c r="E75" s="29"/>
      <c r="F75" s="29"/>
      <c r="G75" s="24"/>
      <c r="H75" s="24"/>
      <c r="I75" s="24"/>
      <c r="J75" s="24"/>
      <c r="K75" s="24"/>
      <c r="L75" s="18" t="str">
        <f aca="false">IF(OR(E75="",F75=""),"",IF(E75&gt;F75,"Over limit","Within limit"))</f>
        <v/>
      </c>
      <c r="M75" s="18" t="str">
        <f aca="false">IF(B75="","",IF(AND(H75="Yes",I75="Yes",J75="Yes",K75&lt;&gt;"No",L75&lt;&gt;"Over limit"),"Compliant",IF(OR(H75="",I75="",J75=""),"Incomplete","Action needed")))</f>
        <v/>
      </c>
      <c r="N75" s="10"/>
    </row>
    <row r="76" customFormat="false" ht="15" hidden="false" customHeight="false" outlineLevel="0" collapsed="false">
      <c r="A76" s="10"/>
      <c r="B76" s="10"/>
      <c r="C76" s="10"/>
      <c r="D76" s="10"/>
      <c r="E76" s="29"/>
      <c r="F76" s="29"/>
      <c r="G76" s="24"/>
      <c r="H76" s="24"/>
      <c r="I76" s="24"/>
      <c r="J76" s="24"/>
      <c r="K76" s="24"/>
      <c r="L76" s="18" t="str">
        <f aca="false">IF(OR(E76="",F76=""),"",IF(E76&gt;F76,"Over limit","Within limit"))</f>
        <v/>
      </c>
      <c r="M76" s="18" t="str">
        <f aca="false">IF(B76="","",IF(AND(H76="Yes",I76="Yes",J76="Yes",K76&lt;&gt;"No",L76&lt;&gt;"Over limit"),"Compliant",IF(OR(H76="",I76="",J76=""),"Incomplete","Action needed")))</f>
        <v/>
      </c>
      <c r="N76" s="10"/>
    </row>
    <row r="77" customFormat="false" ht="15" hidden="false" customHeight="false" outlineLevel="0" collapsed="false">
      <c r="A77" s="10"/>
      <c r="B77" s="10"/>
      <c r="C77" s="10"/>
      <c r="D77" s="10"/>
      <c r="E77" s="29"/>
      <c r="F77" s="29"/>
      <c r="G77" s="24"/>
      <c r="H77" s="24"/>
      <c r="I77" s="24"/>
      <c r="J77" s="24"/>
      <c r="K77" s="24"/>
      <c r="L77" s="18" t="str">
        <f aca="false">IF(OR(E77="",F77=""),"",IF(E77&gt;F77,"Over limit","Within limit"))</f>
        <v/>
      </c>
      <c r="M77" s="18" t="str">
        <f aca="false">IF(B77="","",IF(AND(H77="Yes",I77="Yes",J77="Yes",K77&lt;&gt;"No",L77&lt;&gt;"Over limit"),"Compliant",IF(OR(H77="",I77="",J77=""),"Incomplete","Action needed")))</f>
        <v/>
      </c>
      <c r="N77" s="10"/>
    </row>
    <row r="78" customFormat="false" ht="15" hidden="false" customHeight="false" outlineLevel="0" collapsed="false">
      <c r="A78" s="10"/>
      <c r="B78" s="10"/>
      <c r="C78" s="10"/>
      <c r="D78" s="10"/>
      <c r="E78" s="29"/>
      <c r="F78" s="29"/>
      <c r="G78" s="24"/>
      <c r="H78" s="24"/>
      <c r="I78" s="24"/>
      <c r="J78" s="24"/>
      <c r="K78" s="24"/>
      <c r="L78" s="18" t="str">
        <f aca="false">IF(OR(E78="",F78=""),"",IF(E78&gt;F78,"Over limit","Within limit"))</f>
        <v/>
      </c>
      <c r="M78" s="18" t="str">
        <f aca="false">IF(B78="","",IF(AND(H78="Yes",I78="Yes",J78="Yes",K78&lt;&gt;"No",L78&lt;&gt;"Over limit"),"Compliant",IF(OR(H78="",I78="",J78=""),"Incomplete","Action needed")))</f>
        <v/>
      </c>
      <c r="N78" s="10"/>
    </row>
    <row r="79" customFormat="false" ht="15" hidden="false" customHeight="false" outlineLevel="0" collapsed="false">
      <c r="A79" s="10"/>
      <c r="B79" s="10"/>
      <c r="C79" s="10"/>
      <c r="D79" s="10"/>
      <c r="E79" s="29"/>
      <c r="F79" s="29"/>
      <c r="G79" s="24"/>
      <c r="H79" s="24"/>
      <c r="I79" s="24"/>
      <c r="J79" s="24"/>
      <c r="K79" s="24"/>
      <c r="L79" s="18" t="str">
        <f aca="false">IF(OR(E79="",F79=""),"",IF(E79&gt;F79,"Over limit","Within limit"))</f>
        <v/>
      </c>
      <c r="M79" s="18" t="str">
        <f aca="false">IF(B79="","",IF(AND(H79="Yes",I79="Yes",J79="Yes",K79&lt;&gt;"No",L79&lt;&gt;"Over limit"),"Compliant",IF(OR(H79="",I79="",J79=""),"Incomplete","Action needed")))</f>
        <v/>
      </c>
      <c r="N79" s="10"/>
    </row>
    <row r="80" customFormat="false" ht="15" hidden="false" customHeight="false" outlineLevel="0" collapsed="false">
      <c r="A80" s="10"/>
      <c r="B80" s="10"/>
      <c r="C80" s="10"/>
      <c r="D80" s="10"/>
      <c r="E80" s="29"/>
      <c r="F80" s="29"/>
      <c r="G80" s="24"/>
      <c r="H80" s="24"/>
      <c r="I80" s="24"/>
      <c r="J80" s="24"/>
      <c r="K80" s="24"/>
      <c r="L80" s="18" t="str">
        <f aca="false">IF(OR(E80="",F80=""),"",IF(E80&gt;F80,"Over limit","Within limit"))</f>
        <v/>
      </c>
      <c r="M80" s="18" t="str">
        <f aca="false">IF(B80="","",IF(AND(H80="Yes",I80="Yes",J80="Yes",K80&lt;&gt;"No",L80&lt;&gt;"Over limit"),"Compliant",IF(OR(H80="",I80="",J80=""),"Incomplete","Action needed")))</f>
        <v/>
      </c>
      <c r="N80" s="10"/>
    </row>
    <row r="81" customFormat="false" ht="15" hidden="false" customHeight="false" outlineLevel="0" collapsed="false">
      <c r="A81" s="10"/>
      <c r="B81" s="10"/>
      <c r="C81" s="10"/>
      <c r="D81" s="10"/>
      <c r="E81" s="29"/>
      <c r="F81" s="29"/>
      <c r="G81" s="24"/>
      <c r="H81" s="24"/>
      <c r="I81" s="24"/>
      <c r="J81" s="24"/>
      <c r="K81" s="24"/>
      <c r="L81" s="18" t="str">
        <f aca="false">IF(OR(E81="",F81=""),"",IF(E81&gt;F81,"Over limit","Within limit"))</f>
        <v/>
      </c>
      <c r="M81" s="18" t="str">
        <f aca="false">IF(B81="","",IF(AND(H81="Yes",I81="Yes",J81="Yes",K81&lt;&gt;"No",L81&lt;&gt;"Over limit"),"Compliant",IF(OR(H81="",I81="",J81=""),"Incomplete","Action needed")))</f>
        <v/>
      </c>
      <c r="N81" s="10"/>
    </row>
    <row r="82" customFormat="false" ht="15" hidden="false" customHeight="false" outlineLevel="0" collapsed="false">
      <c r="A82" s="10"/>
      <c r="B82" s="10"/>
      <c r="C82" s="10"/>
      <c r="D82" s="10"/>
      <c r="E82" s="29"/>
      <c r="F82" s="29"/>
      <c r="G82" s="24"/>
      <c r="H82" s="24"/>
      <c r="I82" s="24"/>
      <c r="J82" s="24"/>
      <c r="K82" s="24"/>
      <c r="L82" s="18" t="str">
        <f aca="false">IF(OR(E82="",F82=""),"",IF(E82&gt;F82,"Over limit","Within limit"))</f>
        <v/>
      </c>
      <c r="M82" s="18" t="str">
        <f aca="false">IF(B82="","",IF(AND(H82="Yes",I82="Yes",J82="Yes",K82&lt;&gt;"No",L82&lt;&gt;"Over limit"),"Compliant",IF(OR(H82="",I82="",J82=""),"Incomplete","Action needed")))</f>
        <v/>
      </c>
      <c r="N82" s="10"/>
    </row>
    <row r="83" customFormat="false" ht="15" hidden="false" customHeight="false" outlineLevel="0" collapsed="false">
      <c r="A83" s="10"/>
      <c r="B83" s="10"/>
      <c r="C83" s="10"/>
      <c r="D83" s="10"/>
      <c r="E83" s="29"/>
      <c r="F83" s="29"/>
      <c r="G83" s="24"/>
      <c r="H83" s="24"/>
      <c r="I83" s="24"/>
      <c r="J83" s="24"/>
      <c r="K83" s="24"/>
      <c r="L83" s="18" t="str">
        <f aca="false">IF(OR(E83="",F83=""),"",IF(E83&gt;F83,"Over limit","Within limit"))</f>
        <v/>
      </c>
      <c r="M83" s="18" t="str">
        <f aca="false">IF(B83="","",IF(AND(H83="Yes",I83="Yes",J83="Yes",K83&lt;&gt;"No",L83&lt;&gt;"Over limit"),"Compliant",IF(OR(H83="",I83="",J83=""),"Incomplete","Action needed")))</f>
        <v/>
      </c>
      <c r="N83" s="10"/>
    </row>
    <row r="84" customFormat="false" ht="15" hidden="false" customHeight="false" outlineLevel="0" collapsed="false">
      <c r="A84" s="10"/>
      <c r="B84" s="10"/>
      <c r="C84" s="10"/>
      <c r="D84" s="10"/>
      <c r="E84" s="29"/>
      <c r="F84" s="29"/>
      <c r="G84" s="24"/>
      <c r="H84" s="24"/>
      <c r="I84" s="24"/>
      <c r="J84" s="24"/>
      <c r="K84" s="24"/>
      <c r="L84" s="18" t="str">
        <f aca="false">IF(OR(E84="",F84=""),"",IF(E84&gt;F84,"Over limit","Within limit"))</f>
        <v/>
      </c>
      <c r="M84" s="18" t="str">
        <f aca="false">IF(B84="","",IF(AND(H84="Yes",I84="Yes",J84="Yes",K84&lt;&gt;"No",L84&lt;&gt;"Over limit"),"Compliant",IF(OR(H84="",I84="",J84=""),"Incomplete","Action needed")))</f>
        <v/>
      </c>
      <c r="N84" s="10"/>
    </row>
    <row r="85" customFormat="false" ht="15" hidden="false" customHeight="false" outlineLevel="0" collapsed="false">
      <c r="A85" s="10"/>
      <c r="B85" s="10"/>
      <c r="C85" s="10"/>
      <c r="D85" s="10"/>
      <c r="E85" s="29"/>
      <c r="F85" s="29"/>
      <c r="G85" s="24"/>
      <c r="H85" s="24"/>
      <c r="I85" s="24"/>
      <c r="J85" s="24"/>
      <c r="K85" s="24"/>
      <c r="L85" s="18" t="str">
        <f aca="false">IF(OR(E85="",F85=""),"",IF(E85&gt;F85,"Over limit","Within limit"))</f>
        <v/>
      </c>
      <c r="M85" s="18" t="str">
        <f aca="false">IF(B85="","",IF(AND(H85="Yes",I85="Yes",J85="Yes",K85&lt;&gt;"No",L85&lt;&gt;"Over limit"),"Compliant",IF(OR(H85="",I85="",J85=""),"Incomplete","Action needed")))</f>
        <v/>
      </c>
      <c r="N85" s="10"/>
    </row>
    <row r="86" customFormat="false" ht="15" hidden="false" customHeight="false" outlineLevel="0" collapsed="false">
      <c r="A86" s="10"/>
      <c r="B86" s="10"/>
      <c r="C86" s="10"/>
      <c r="D86" s="10"/>
      <c r="E86" s="29"/>
      <c r="F86" s="29"/>
      <c r="G86" s="24"/>
      <c r="H86" s="24"/>
      <c r="I86" s="24"/>
      <c r="J86" s="24"/>
      <c r="K86" s="24"/>
      <c r="L86" s="18" t="str">
        <f aca="false">IF(OR(E86="",F86=""),"",IF(E86&gt;F86,"Over limit","Within limit"))</f>
        <v/>
      </c>
      <c r="M86" s="18" t="str">
        <f aca="false">IF(B86="","",IF(AND(H86="Yes",I86="Yes",J86="Yes",K86&lt;&gt;"No",L86&lt;&gt;"Over limit"),"Compliant",IF(OR(H86="",I86="",J86=""),"Incomplete","Action needed")))</f>
        <v/>
      </c>
      <c r="N86" s="10"/>
    </row>
    <row r="87" customFormat="false" ht="15" hidden="false" customHeight="false" outlineLevel="0" collapsed="false">
      <c r="A87" s="10"/>
      <c r="B87" s="10"/>
      <c r="C87" s="10"/>
      <c r="D87" s="10"/>
      <c r="E87" s="29"/>
      <c r="F87" s="29"/>
      <c r="G87" s="24"/>
      <c r="H87" s="24"/>
      <c r="I87" s="24"/>
      <c r="J87" s="24"/>
      <c r="K87" s="24"/>
      <c r="L87" s="18" t="str">
        <f aca="false">IF(OR(E87="",F87=""),"",IF(E87&gt;F87,"Over limit","Within limit"))</f>
        <v/>
      </c>
      <c r="M87" s="18" t="str">
        <f aca="false">IF(B87="","",IF(AND(H87="Yes",I87="Yes",J87="Yes",K87&lt;&gt;"No",L87&lt;&gt;"Over limit"),"Compliant",IF(OR(H87="",I87="",J87=""),"Incomplete","Action needed")))</f>
        <v/>
      </c>
      <c r="N87" s="10"/>
    </row>
    <row r="88" customFormat="false" ht="15" hidden="false" customHeight="false" outlineLevel="0" collapsed="false">
      <c r="A88" s="10"/>
      <c r="B88" s="10"/>
      <c r="C88" s="10"/>
      <c r="D88" s="10"/>
      <c r="E88" s="29"/>
      <c r="F88" s="29"/>
      <c r="G88" s="24"/>
      <c r="H88" s="24"/>
      <c r="I88" s="24"/>
      <c r="J88" s="24"/>
      <c r="K88" s="24"/>
      <c r="L88" s="18" t="str">
        <f aca="false">IF(OR(E88="",F88=""),"",IF(E88&gt;F88,"Over limit","Within limit"))</f>
        <v/>
      </c>
      <c r="M88" s="18" t="str">
        <f aca="false">IF(B88="","",IF(AND(H88="Yes",I88="Yes",J88="Yes",K88&lt;&gt;"No",L88&lt;&gt;"Over limit"),"Compliant",IF(OR(H88="",I88="",J88=""),"Incomplete","Action needed")))</f>
        <v/>
      </c>
      <c r="N88" s="10"/>
    </row>
    <row r="89" customFormat="false" ht="15" hidden="false" customHeight="false" outlineLevel="0" collapsed="false">
      <c r="A89" s="10"/>
      <c r="B89" s="10"/>
      <c r="C89" s="10"/>
      <c r="D89" s="10"/>
      <c r="E89" s="29"/>
      <c r="F89" s="29"/>
      <c r="G89" s="24"/>
      <c r="H89" s="24"/>
      <c r="I89" s="24"/>
      <c r="J89" s="24"/>
      <c r="K89" s="24"/>
      <c r="L89" s="18" t="str">
        <f aca="false">IF(OR(E89="",F89=""),"",IF(E89&gt;F89,"Over limit","Within limit"))</f>
        <v/>
      </c>
      <c r="M89" s="18" t="str">
        <f aca="false">IF(B89="","",IF(AND(H89="Yes",I89="Yes",J89="Yes",K89&lt;&gt;"No",L89&lt;&gt;"Over limit"),"Compliant",IF(OR(H89="",I89="",J89=""),"Incomplete","Action needed")))</f>
        <v/>
      </c>
      <c r="N89" s="10"/>
    </row>
    <row r="90" customFormat="false" ht="15" hidden="false" customHeight="false" outlineLevel="0" collapsed="false">
      <c r="A90" s="10"/>
      <c r="B90" s="10"/>
      <c r="C90" s="10"/>
      <c r="D90" s="10"/>
      <c r="E90" s="29"/>
      <c r="F90" s="29"/>
      <c r="G90" s="24"/>
      <c r="H90" s="24"/>
      <c r="I90" s="24"/>
      <c r="J90" s="24"/>
      <c r="K90" s="24"/>
      <c r="L90" s="18" t="str">
        <f aca="false">IF(OR(E90="",F90=""),"",IF(E90&gt;F90,"Over limit","Within limit"))</f>
        <v/>
      </c>
      <c r="M90" s="18" t="str">
        <f aca="false">IF(B90="","",IF(AND(H90="Yes",I90="Yes",J90="Yes",K90&lt;&gt;"No",L90&lt;&gt;"Over limit"),"Compliant",IF(OR(H90="",I90="",J90=""),"Incomplete","Action needed")))</f>
        <v/>
      </c>
      <c r="N90" s="10"/>
    </row>
    <row r="91" customFormat="false" ht="15" hidden="false" customHeight="false" outlineLevel="0" collapsed="false">
      <c r="A91" s="10"/>
      <c r="B91" s="10"/>
      <c r="C91" s="10"/>
      <c r="D91" s="10"/>
      <c r="E91" s="29"/>
      <c r="F91" s="29"/>
      <c r="G91" s="24"/>
      <c r="H91" s="24"/>
      <c r="I91" s="24"/>
      <c r="J91" s="24"/>
      <c r="K91" s="24"/>
      <c r="L91" s="18" t="str">
        <f aca="false">IF(OR(E91="",F91=""),"",IF(E91&gt;F91,"Over limit","Within limit"))</f>
        <v/>
      </c>
      <c r="M91" s="18" t="str">
        <f aca="false">IF(B91="","",IF(AND(H91="Yes",I91="Yes",J91="Yes",K91&lt;&gt;"No",L91&lt;&gt;"Over limit"),"Compliant",IF(OR(H91="",I91="",J91=""),"Incomplete","Action needed")))</f>
        <v/>
      </c>
      <c r="N91" s="10"/>
    </row>
    <row r="92" customFormat="false" ht="15" hidden="false" customHeight="false" outlineLevel="0" collapsed="false">
      <c r="A92" s="10"/>
      <c r="B92" s="10"/>
      <c r="C92" s="10"/>
      <c r="D92" s="10"/>
      <c r="E92" s="29"/>
      <c r="F92" s="29"/>
      <c r="G92" s="24"/>
      <c r="H92" s="24"/>
      <c r="I92" s="24"/>
      <c r="J92" s="24"/>
      <c r="K92" s="24"/>
      <c r="L92" s="18" t="str">
        <f aca="false">IF(OR(E92="",F92=""),"",IF(E92&gt;F92,"Over limit","Within limit"))</f>
        <v/>
      </c>
      <c r="M92" s="18" t="str">
        <f aca="false">IF(B92="","",IF(AND(H92="Yes",I92="Yes",J92="Yes",K92&lt;&gt;"No",L92&lt;&gt;"Over limit"),"Compliant",IF(OR(H92="",I92="",J92=""),"Incomplete","Action needed")))</f>
        <v/>
      </c>
      <c r="N92" s="10"/>
    </row>
    <row r="93" customFormat="false" ht="15" hidden="false" customHeight="false" outlineLevel="0" collapsed="false">
      <c r="A93" s="10"/>
      <c r="B93" s="10"/>
      <c r="C93" s="10"/>
      <c r="D93" s="10"/>
      <c r="E93" s="29"/>
      <c r="F93" s="29"/>
      <c r="G93" s="24"/>
      <c r="H93" s="24"/>
      <c r="I93" s="24"/>
      <c r="J93" s="24"/>
      <c r="K93" s="24"/>
      <c r="L93" s="18" t="str">
        <f aca="false">IF(OR(E93="",F93=""),"",IF(E93&gt;F93,"Over limit","Within limit"))</f>
        <v/>
      </c>
      <c r="M93" s="18" t="str">
        <f aca="false">IF(B93="","",IF(AND(H93="Yes",I93="Yes",J93="Yes",K93&lt;&gt;"No",L93&lt;&gt;"Over limit"),"Compliant",IF(OR(H93="",I93="",J93=""),"Incomplete","Action needed")))</f>
        <v/>
      </c>
      <c r="N93" s="10"/>
    </row>
    <row r="94" customFormat="false" ht="15" hidden="false" customHeight="false" outlineLevel="0" collapsed="false">
      <c r="A94" s="10"/>
      <c r="B94" s="10"/>
      <c r="C94" s="10"/>
      <c r="D94" s="10"/>
      <c r="E94" s="29"/>
      <c r="F94" s="29"/>
      <c r="G94" s="24"/>
      <c r="H94" s="24"/>
      <c r="I94" s="24"/>
      <c r="J94" s="24"/>
      <c r="K94" s="24"/>
      <c r="L94" s="18" t="str">
        <f aca="false">IF(OR(E94="",F94=""),"",IF(E94&gt;F94,"Over limit","Within limit"))</f>
        <v/>
      </c>
      <c r="M94" s="18" t="str">
        <f aca="false">IF(B94="","",IF(AND(H94="Yes",I94="Yes",J94="Yes",K94&lt;&gt;"No",L94&lt;&gt;"Over limit"),"Compliant",IF(OR(H94="",I94="",J94=""),"Incomplete","Action needed")))</f>
        <v/>
      </c>
      <c r="N94" s="10"/>
    </row>
    <row r="95" customFormat="false" ht="15" hidden="false" customHeight="false" outlineLevel="0" collapsed="false">
      <c r="A95" s="10"/>
      <c r="B95" s="10"/>
      <c r="C95" s="10"/>
      <c r="D95" s="10"/>
      <c r="E95" s="29"/>
      <c r="F95" s="29"/>
      <c r="G95" s="24"/>
      <c r="H95" s="24"/>
      <c r="I95" s="24"/>
      <c r="J95" s="24"/>
      <c r="K95" s="24"/>
      <c r="L95" s="18" t="str">
        <f aca="false">IF(OR(E95="",F95=""),"",IF(E95&gt;F95,"Over limit","Within limit"))</f>
        <v/>
      </c>
      <c r="M95" s="18" t="str">
        <f aca="false">IF(B95="","",IF(AND(H95="Yes",I95="Yes",J95="Yes",K95&lt;&gt;"No",L95&lt;&gt;"Over limit"),"Compliant",IF(OR(H95="",I95="",J95=""),"Incomplete","Action needed")))</f>
        <v/>
      </c>
      <c r="N95" s="10"/>
    </row>
    <row r="96" customFormat="false" ht="15" hidden="false" customHeight="false" outlineLevel="0" collapsed="false">
      <c r="A96" s="10"/>
      <c r="B96" s="10"/>
      <c r="C96" s="10"/>
      <c r="D96" s="10"/>
      <c r="E96" s="29"/>
      <c r="F96" s="29"/>
      <c r="G96" s="24"/>
      <c r="H96" s="24"/>
      <c r="I96" s="24"/>
      <c r="J96" s="24"/>
      <c r="K96" s="24"/>
      <c r="L96" s="18" t="str">
        <f aca="false">IF(OR(E96="",F96=""),"",IF(E96&gt;F96,"Over limit","Within limit"))</f>
        <v/>
      </c>
      <c r="M96" s="18" t="str">
        <f aca="false">IF(B96="","",IF(AND(H96="Yes",I96="Yes",J96="Yes",K96&lt;&gt;"No",L96&lt;&gt;"Over limit"),"Compliant",IF(OR(H96="",I96="",J96=""),"Incomplete","Action needed")))</f>
        <v/>
      </c>
      <c r="N96" s="10"/>
    </row>
    <row r="97" customFormat="false" ht="15" hidden="false" customHeight="false" outlineLevel="0" collapsed="false">
      <c r="A97" s="10"/>
      <c r="B97" s="10"/>
      <c r="C97" s="10"/>
      <c r="D97" s="10"/>
      <c r="E97" s="29"/>
      <c r="F97" s="29"/>
      <c r="G97" s="24"/>
      <c r="H97" s="24"/>
      <c r="I97" s="24"/>
      <c r="J97" s="24"/>
      <c r="K97" s="24"/>
      <c r="L97" s="18" t="str">
        <f aca="false">IF(OR(E97="",F97=""),"",IF(E97&gt;F97,"Over limit","Within limit"))</f>
        <v/>
      </c>
      <c r="M97" s="18" t="str">
        <f aca="false">IF(B97="","",IF(AND(H97="Yes",I97="Yes",J97="Yes",K97&lt;&gt;"No",L97&lt;&gt;"Over limit"),"Compliant",IF(OR(H97="",I97="",J97=""),"Incomplete","Action needed")))</f>
        <v/>
      </c>
      <c r="N97" s="10"/>
    </row>
    <row r="98" customFormat="false" ht="15" hidden="false" customHeight="false" outlineLevel="0" collapsed="false">
      <c r="A98" s="10"/>
      <c r="B98" s="10"/>
      <c r="C98" s="10"/>
      <c r="D98" s="10"/>
      <c r="E98" s="29"/>
      <c r="F98" s="29"/>
      <c r="G98" s="24"/>
      <c r="H98" s="24"/>
      <c r="I98" s="24"/>
      <c r="J98" s="24"/>
      <c r="K98" s="24"/>
      <c r="L98" s="18" t="str">
        <f aca="false">IF(OR(E98="",F98=""),"",IF(E98&gt;F98,"Over limit","Within limit"))</f>
        <v/>
      </c>
      <c r="M98" s="18" t="str">
        <f aca="false">IF(B98="","",IF(AND(H98="Yes",I98="Yes",J98="Yes",K98&lt;&gt;"No",L98&lt;&gt;"Over limit"),"Compliant",IF(OR(H98="",I98="",J98=""),"Incomplete","Action needed")))</f>
        <v/>
      </c>
      <c r="N98" s="10"/>
    </row>
    <row r="99" customFormat="false" ht="15" hidden="false" customHeight="false" outlineLevel="0" collapsed="false">
      <c r="A99" s="10"/>
      <c r="B99" s="10"/>
      <c r="C99" s="10"/>
      <c r="D99" s="10"/>
      <c r="E99" s="29"/>
      <c r="F99" s="29"/>
      <c r="G99" s="24"/>
      <c r="H99" s="24"/>
      <c r="I99" s="24"/>
      <c r="J99" s="24"/>
      <c r="K99" s="24"/>
      <c r="L99" s="18" t="str">
        <f aca="false">IF(OR(E99="",F99=""),"",IF(E99&gt;F99,"Over limit","Within limit"))</f>
        <v/>
      </c>
      <c r="M99" s="18" t="str">
        <f aca="false">IF(B99="","",IF(AND(H99="Yes",I99="Yes",J99="Yes",K99&lt;&gt;"No",L99&lt;&gt;"Over limit"),"Compliant",IF(OR(H99="",I99="",J99=""),"Incomplete","Action needed")))</f>
        <v/>
      </c>
      <c r="N99" s="10"/>
    </row>
    <row r="100" customFormat="false" ht="15" hidden="false" customHeight="false" outlineLevel="0" collapsed="false">
      <c r="A100" s="10"/>
      <c r="B100" s="10"/>
      <c r="C100" s="10"/>
      <c r="D100" s="10"/>
      <c r="E100" s="29"/>
      <c r="F100" s="29"/>
      <c r="G100" s="24"/>
      <c r="H100" s="24"/>
      <c r="I100" s="24"/>
      <c r="J100" s="24"/>
      <c r="K100" s="24"/>
      <c r="L100" s="18" t="str">
        <f aca="false">IF(OR(E100="",F100=""),"",IF(E100&gt;F100,"Over limit","Within limit"))</f>
        <v/>
      </c>
      <c r="M100" s="18" t="str">
        <f aca="false">IF(B100="","",IF(AND(H100="Yes",I100="Yes",J100="Yes",K100&lt;&gt;"No",L100&lt;&gt;"Over limit"),"Compliant",IF(OR(H100="",I100="",J100=""),"Incomplete","Action needed")))</f>
        <v/>
      </c>
      <c r="N100" s="10"/>
    </row>
    <row r="101" customFormat="false" ht="15" hidden="false" customHeight="false" outlineLevel="0" collapsed="false">
      <c r="A101" s="10"/>
      <c r="B101" s="10"/>
      <c r="C101" s="10"/>
      <c r="D101" s="10"/>
      <c r="E101" s="29"/>
      <c r="F101" s="29"/>
      <c r="G101" s="24"/>
      <c r="H101" s="24"/>
      <c r="I101" s="24"/>
      <c r="J101" s="24"/>
      <c r="K101" s="24"/>
      <c r="L101" s="18" t="str">
        <f aca="false">IF(OR(E101="",F101=""),"",IF(E101&gt;F101,"Over limit","Within limit"))</f>
        <v/>
      </c>
      <c r="M101" s="18" t="str">
        <f aca="false">IF(B101="","",IF(AND(H101="Yes",I101="Yes",J101="Yes",K101&lt;&gt;"No",L101&lt;&gt;"Over limit"),"Compliant",IF(OR(H101="",I101="",J101=""),"Incomplete","Action needed")))</f>
        <v/>
      </c>
      <c r="N101" s="10"/>
    </row>
    <row r="102" customFormat="false" ht="15" hidden="false" customHeight="false" outlineLevel="0" collapsed="false">
      <c r="A102" s="10"/>
      <c r="B102" s="10"/>
      <c r="C102" s="10"/>
      <c r="D102" s="10"/>
      <c r="E102" s="29"/>
      <c r="F102" s="29"/>
      <c r="G102" s="24"/>
      <c r="H102" s="24"/>
      <c r="I102" s="24"/>
      <c r="J102" s="24"/>
      <c r="K102" s="24"/>
      <c r="L102" s="18" t="str">
        <f aca="false">IF(OR(E102="",F102=""),"",IF(E102&gt;F102,"Over limit","Within limit"))</f>
        <v/>
      </c>
      <c r="M102" s="18" t="str">
        <f aca="false">IF(B102="","",IF(AND(H102="Yes",I102="Yes",J102="Yes",K102&lt;&gt;"No",L102&lt;&gt;"Over limit"),"Compliant",IF(OR(H102="",I102="",J102=""),"Incomplete","Action needed")))</f>
        <v/>
      </c>
      <c r="N102" s="10"/>
    </row>
    <row r="103" customFormat="false" ht="15" hidden="false" customHeight="false" outlineLevel="0" collapsed="false">
      <c r="A103" s="10"/>
      <c r="B103" s="10"/>
      <c r="C103" s="10"/>
      <c r="D103" s="10"/>
      <c r="E103" s="29"/>
      <c r="F103" s="29"/>
      <c r="G103" s="24"/>
      <c r="H103" s="24"/>
      <c r="I103" s="24"/>
      <c r="J103" s="24"/>
      <c r="K103" s="24"/>
      <c r="L103" s="18" t="str">
        <f aca="false">IF(OR(E103="",F103=""),"",IF(E103&gt;F103,"Over limit","Within limit"))</f>
        <v/>
      </c>
      <c r="M103" s="18" t="str">
        <f aca="false">IF(B103="","",IF(AND(H103="Yes",I103="Yes",J103="Yes",K103&lt;&gt;"No",L103&lt;&gt;"Over limit"),"Compliant",IF(OR(H103="",I103="",J103=""),"Incomplete","Action needed")))</f>
        <v/>
      </c>
      <c r="N103" s="10"/>
    </row>
    <row r="104" customFormat="false" ht="15" hidden="false" customHeight="false" outlineLevel="0" collapsed="false">
      <c r="A104" s="10"/>
      <c r="B104" s="10"/>
      <c r="C104" s="10"/>
      <c r="D104" s="10"/>
      <c r="E104" s="29"/>
      <c r="F104" s="29"/>
      <c r="G104" s="24"/>
      <c r="H104" s="24"/>
      <c r="I104" s="24"/>
      <c r="J104" s="24"/>
      <c r="K104" s="24"/>
      <c r="L104" s="18" t="str">
        <f aca="false">IF(OR(E104="",F104=""),"",IF(E104&gt;F104,"Over limit","Within limit"))</f>
        <v/>
      </c>
      <c r="M104" s="18" t="str">
        <f aca="false">IF(B104="","",IF(AND(H104="Yes",I104="Yes",J104="Yes",K104&lt;&gt;"No",L104&lt;&gt;"Over limit"),"Compliant",IF(OR(H104="",I104="",J104=""),"Incomplete","Action needed")))</f>
        <v/>
      </c>
      <c r="N104" s="10"/>
    </row>
  </sheetData>
  <conditionalFormatting sqref="L5:L104">
    <cfRule type="cellIs" priority="2" operator="equal" aboveAverage="0" equalAverage="0" bottom="0" percent="0" rank="0" text="" dxfId="0">
      <formula>"Within limit"</formula>
    </cfRule>
    <cfRule type="cellIs" priority="3" operator="equal" aboveAverage="0" equalAverage="0" bottom="0" percent="0" rank="0" text="" dxfId="2">
      <formula>"Over limit"</formula>
    </cfRule>
  </conditionalFormatting>
  <conditionalFormatting sqref="M5:M104">
    <cfRule type="cellIs" priority="4" operator="equal" aboveAverage="0" equalAverage="0" bottom="0" percent="0" rank="0" text="" dxfId="0">
      <formula>"Compliant"</formula>
    </cfRule>
    <cfRule type="cellIs" priority="5" operator="equal" aboveAverage="0" equalAverage="0" bottom="0" percent="0" rank="0" text="" dxfId="1">
      <formula>"Incomplete"</formula>
    </cfRule>
    <cfRule type="cellIs" priority="6" operator="equal" aboveAverage="0" equalAverage="0" bottom="0" percent="0" rank="0" text="" dxfId="2">
      <formula>"Action needed"</formula>
    </cfRule>
  </conditionalFormatting>
  <conditionalFormatting sqref="H5:K104">
    <cfRule type="cellIs" priority="7" operator="equal" aboveAverage="0" equalAverage="0" bottom="0" percent="0" rank="0" text="" dxfId="0">
      <formula>"Yes"</formula>
    </cfRule>
    <cfRule type="cellIs" priority="8" operator="equal" aboveAverage="0" equalAverage="0" bottom="0" percent="0" rank="0" text="" dxfId="1">
      <formula>"N/A"</formula>
    </cfRule>
    <cfRule type="cellIs" priority="9" operator="equal" aboveAverage="0" equalAverage="0" bottom="0" percent="0" rank="0" text="" dxfId="2">
      <formula>"No"</formula>
    </cfRule>
  </conditionalFormatting>
  <dataValidations count="3">
    <dataValidation allowBlank="true" error="Please choose a value from the list." errorStyle="stop" errorTitle="Invalid entry" operator="between" showDropDown="false" showErrorMessage="false" showInputMessage="false" sqref="C5:C104" type="list">
      <formula1>Lists!$L$2:$L$6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H5:J10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K5:K104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15"/>
    <col collapsed="false" customWidth="true" hidden="false" outlineLevel="0" max="4" min="4" style="0" width="38"/>
  </cols>
  <sheetData>
    <row r="1" customFormat="false" ht="19.7" hidden="false" customHeight="false" outlineLevel="0" collapsed="false">
      <c r="A1" s="1" t="s">
        <v>386</v>
      </c>
      <c r="B1" s="2"/>
      <c r="C1" s="2"/>
      <c r="D1" s="2"/>
    </row>
    <row r="2" customFormat="false" ht="15" hidden="false" customHeight="false" outlineLevel="0" collapsed="false">
      <c r="A2" s="3" t="s">
        <v>387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12" t="s">
        <v>388</v>
      </c>
      <c r="B4" s="12"/>
      <c r="C4" s="12"/>
      <c r="D4" s="12"/>
    </row>
    <row r="5" customFormat="false" ht="15" hidden="false" customHeight="false" outlineLevel="0" collapsed="false">
      <c r="A5" s="2"/>
      <c r="B5" s="9" t="s">
        <v>389</v>
      </c>
      <c r="C5" s="10" t="s">
        <v>246</v>
      </c>
      <c r="D5" s="11" t="n">
        <v>46298</v>
      </c>
    </row>
    <row r="6" customFormat="false" ht="15" hidden="false" customHeight="false" outlineLevel="0" collapsed="false">
      <c r="A6" s="30" t="s">
        <v>46</v>
      </c>
      <c r="B6" s="30" t="s">
        <v>390</v>
      </c>
      <c r="C6" s="30" t="s">
        <v>52</v>
      </c>
      <c r="D6" s="30" t="s">
        <v>243</v>
      </c>
    </row>
    <row r="7" customFormat="false" ht="15" hidden="false" customHeight="false" outlineLevel="0" collapsed="false">
      <c r="A7" s="13" t="n">
        <v>1</v>
      </c>
      <c r="B7" s="6" t="s">
        <v>391</v>
      </c>
      <c r="C7" s="24" t="s">
        <v>191</v>
      </c>
      <c r="D7" s="10"/>
    </row>
    <row r="8" customFormat="false" ht="26.85" hidden="false" customHeight="false" outlineLevel="0" collapsed="false">
      <c r="A8" s="13" t="n">
        <v>2</v>
      </c>
      <c r="B8" s="6" t="s">
        <v>392</v>
      </c>
      <c r="C8" s="24" t="s">
        <v>194</v>
      </c>
      <c r="D8" s="10" t="s">
        <v>393</v>
      </c>
    </row>
    <row r="9" customFormat="false" ht="26.85" hidden="false" customHeight="false" outlineLevel="0" collapsed="false">
      <c r="A9" s="13" t="n">
        <v>3</v>
      </c>
      <c r="B9" s="6" t="s">
        <v>394</v>
      </c>
      <c r="C9" s="24" t="s">
        <v>191</v>
      </c>
      <c r="D9" s="10"/>
    </row>
    <row r="10" customFormat="false" ht="26.85" hidden="false" customHeight="false" outlineLevel="0" collapsed="false">
      <c r="A10" s="13" t="n">
        <v>4</v>
      </c>
      <c r="B10" s="6" t="s">
        <v>395</v>
      </c>
      <c r="C10" s="24" t="s">
        <v>194</v>
      </c>
      <c r="D10" s="10" t="s">
        <v>396</v>
      </c>
    </row>
    <row r="11" customFormat="false" ht="15" hidden="false" customHeight="false" outlineLevel="0" collapsed="false">
      <c r="A11" s="13" t="n">
        <v>5</v>
      </c>
      <c r="B11" s="6" t="s">
        <v>397</v>
      </c>
      <c r="C11" s="24" t="s">
        <v>191</v>
      </c>
      <c r="D11" s="10"/>
    </row>
    <row r="12" customFormat="false" ht="15" hidden="false" customHeight="false" outlineLevel="0" collapsed="false">
      <c r="A12" s="13" t="n">
        <v>6</v>
      </c>
      <c r="B12" s="6" t="s">
        <v>398</v>
      </c>
      <c r="C12" s="24" t="s">
        <v>191</v>
      </c>
      <c r="D12" s="10"/>
    </row>
    <row r="13" customFormat="false" ht="15" hidden="false" customHeight="false" outlineLevel="0" collapsed="false">
      <c r="A13" s="13" t="n">
        <v>7</v>
      </c>
      <c r="B13" s="6" t="s">
        <v>399</v>
      </c>
      <c r="C13" s="24" t="s">
        <v>191</v>
      </c>
      <c r="D13" s="10"/>
    </row>
    <row r="14" customFormat="false" ht="15" hidden="false" customHeight="false" outlineLevel="0" collapsed="false">
      <c r="A14" s="13" t="n">
        <v>8</v>
      </c>
      <c r="B14" s="6" t="s">
        <v>400</v>
      </c>
      <c r="C14" s="24" t="s">
        <v>191</v>
      </c>
      <c r="D14" s="10"/>
    </row>
    <row r="15" customFormat="false" ht="15" hidden="false" customHeight="false" outlineLevel="0" collapsed="false">
      <c r="A15" s="13" t="n">
        <v>9</v>
      </c>
      <c r="B15" s="6" t="s">
        <v>401</v>
      </c>
      <c r="C15" s="24" t="s">
        <v>191</v>
      </c>
      <c r="D15" s="10"/>
    </row>
    <row r="16" customFormat="false" ht="15" hidden="false" customHeight="false" outlineLevel="0" collapsed="false">
      <c r="A16" s="13" t="n">
        <v>10</v>
      </c>
      <c r="B16" s="6" t="s">
        <v>402</v>
      </c>
      <c r="C16" s="24" t="s">
        <v>191</v>
      </c>
      <c r="D16" s="10"/>
    </row>
    <row r="17" customFormat="false" ht="15" hidden="false" customHeight="false" outlineLevel="0" collapsed="false">
      <c r="A17" s="13" t="n">
        <v>11</v>
      </c>
      <c r="B17" s="6" t="s">
        <v>403</v>
      </c>
      <c r="C17" s="24" t="s">
        <v>191</v>
      </c>
      <c r="D17" s="10"/>
    </row>
    <row r="18" customFormat="false" ht="26.85" hidden="false" customHeight="false" outlineLevel="0" collapsed="false">
      <c r="A18" s="13" t="n">
        <v>12</v>
      </c>
      <c r="B18" s="6" t="s">
        <v>404</v>
      </c>
      <c r="C18" s="24" t="s">
        <v>191</v>
      </c>
      <c r="D18" s="10"/>
    </row>
    <row r="19" customFormat="false" ht="15" hidden="false" customHeight="false" outlineLevel="0" collapsed="false">
      <c r="A19" s="2"/>
      <c r="B19" s="9" t="s">
        <v>405</v>
      </c>
      <c r="C19" s="21" t="n">
        <f aca="false">COUNTIF(C7:C18,"Non-compliant")</f>
        <v>2</v>
      </c>
      <c r="D19" s="2"/>
    </row>
    <row r="20" customFormat="false" ht="15" hidden="false" customHeight="false" outlineLevel="0" collapsed="false">
      <c r="A20" s="2"/>
      <c r="B20" s="9" t="s">
        <v>365</v>
      </c>
      <c r="C20" s="26" t="n">
        <f aca="false">IFERROR(COUNTIF(C7:C18,"Compliant")/(COUNTIF(C7:C18,"Compliant")+COUNTIF(C7:C18,"Non-compliant")),"")</f>
        <v>0.833333333333333</v>
      </c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true" outlineLevel="0" collapsed="false">
      <c r="A23" s="12" t="s">
        <v>406</v>
      </c>
      <c r="B23" s="12"/>
      <c r="C23" s="12"/>
      <c r="D23" s="12"/>
    </row>
    <row r="24" customFormat="false" ht="15" hidden="false" customHeight="false" outlineLevel="0" collapsed="false">
      <c r="A24" s="2"/>
      <c r="B24" s="9" t="s">
        <v>389</v>
      </c>
      <c r="C24" s="10" t="s">
        <v>144</v>
      </c>
      <c r="D24" s="11" t="n">
        <v>46290</v>
      </c>
    </row>
    <row r="25" customFormat="false" ht="15" hidden="false" customHeight="false" outlineLevel="0" collapsed="false">
      <c r="A25" s="30" t="s">
        <v>46</v>
      </c>
      <c r="B25" s="30" t="s">
        <v>390</v>
      </c>
      <c r="C25" s="30" t="s">
        <v>52</v>
      </c>
      <c r="D25" s="30" t="s">
        <v>243</v>
      </c>
    </row>
    <row r="26" customFormat="false" ht="15" hidden="false" customHeight="false" outlineLevel="0" collapsed="false">
      <c r="A26" s="13" t="n">
        <v>1</v>
      </c>
      <c r="B26" s="6" t="s">
        <v>407</v>
      </c>
      <c r="C26" s="24" t="s">
        <v>191</v>
      </c>
      <c r="D26" s="10"/>
    </row>
    <row r="27" customFormat="false" ht="15" hidden="false" customHeight="false" outlineLevel="0" collapsed="false">
      <c r="A27" s="13" t="n">
        <v>2</v>
      </c>
      <c r="B27" s="6" t="s">
        <v>408</v>
      </c>
      <c r="C27" s="24" t="s">
        <v>191</v>
      </c>
      <c r="D27" s="10"/>
    </row>
    <row r="28" customFormat="false" ht="15" hidden="false" customHeight="false" outlineLevel="0" collapsed="false">
      <c r="A28" s="13" t="n">
        <v>3</v>
      </c>
      <c r="B28" s="6" t="s">
        <v>409</v>
      </c>
      <c r="C28" s="24" t="s">
        <v>191</v>
      </c>
      <c r="D28" s="10"/>
    </row>
    <row r="29" customFormat="false" ht="15" hidden="false" customHeight="false" outlineLevel="0" collapsed="false">
      <c r="A29" s="13" t="n">
        <v>4</v>
      </c>
      <c r="B29" s="6" t="s">
        <v>410</v>
      </c>
      <c r="C29" s="24" t="s">
        <v>191</v>
      </c>
      <c r="D29" s="10"/>
    </row>
    <row r="30" customFormat="false" ht="15" hidden="false" customHeight="false" outlineLevel="0" collapsed="false">
      <c r="A30" s="13" t="n">
        <v>5</v>
      </c>
      <c r="B30" s="6" t="s">
        <v>411</v>
      </c>
      <c r="C30" s="24" t="s">
        <v>191</v>
      </c>
      <c r="D30" s="10"/>
    </row>
    <row r="31" customFormat="false" ht="15" hidden="false" customHeight="false" outlineLevel="0" collapsed="false">
      <c r="A31" s="13" t="n">
        <v>6</v>
      </c>
      <c r="B31" s="6" t="s">
        <v>412</v>
      </c>
      <c r="C31" s="24" t="s">
        <v>191</v>
      </c>
      <c r="D31" s="10"/>
    </row>
    <row r="32" customFormat="false" ht="15" hidden="false" customHeight="false" outlineLevel="0" collapsed="false">
      <c r="A32" s="13" t="n">
        <v>7</v>
      </c>
      <c r="B32" s="6" t="s">
        <v>413</v>
      </c>
      <c r="C32" s="24" t="s">
        <v>191</v>
      </c>
      <c r="D32" s="10"/>
    </row>
    <row r="33" customFormat="false" ht="15" hidden="false" customHeight="false" outlineLevel="0" collapsed="false">
      <c r="A33" s="13" t="n">
        <v>8</v>
      </c>
      <c r="B33" s="6" t="s">
        <v>414</v>
      </c>
      <c r="C33" s="24" t="s">
        <v>191</v>
      </c>
      <c r="D33" s="10"/>
    </row>
    <row r="34" customFormat="false" ht="15" hidden="false" customHeight="false" outlineLevel="0" collapsed="false">
      <c r="A34" s="13" t="n">
        <v>9</v>
      </c>
      <c r="B34" s="6" t="s">
        <v>415</v>
      </c>
      <c r="C34" s="24" t="s">
        <v>191</v>
      </c>
      <c r="D34" s="10"/>
    </row>
    <row r="35" customFormat="false" ht="15" hidden="false" customHeight="false" outlineLevel="0" collapsed="false">
      <c r="A35" s="2"/>
      <c r="B35" s="9" t="s">
        <v>405</v>
      </c>
      <c r="C35" s="21" t="n">
        <f aca="false">COUNTIF(C26:C34,"Non-compliant")</f>
        <v>0</v>
      </c>
      <c r="D35" s="2"/>
    </row>
    <row r="36" customFormat="false" ht="15" hidden="false" customHeight="false" outlineLevel="0" collapsed="false">
      <c r="A36" s="2"/>
      <c r="B36" s="9" t="s">
        <v>365</v>
      </c>
      <c r="C36" s="26" t="n">
        <f aca="false">IFERROR(COUNTIF(C26:C34,"Compliant")/(COUNTIF(C26:C34,"Compliant")+COUNTIF(C26:C34,"Non-compliant")),"")</f>
        <v>1</v>
      </c>
      <c r="D36" s="2"/>
    </row>
  </sheetData>
  <mergeCells count="2">
    <mergeCell ref="A4:D4"/>
    <mergeCell ref="A23:D23"/>
  </mergeCells>
  <conditionalFormatting sqref="C7:C18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"Non-compliant"</formula>
    </cfRule>
  </conditionalFormatting>
  <conditionalFormatting sqref="C26:C34">
    <cfRule type="cellIs" priority="5" operator="equal" aboveAverage="0" equalAverage="0" bottom="0" percent="0" rank="0" text="" dxfId="0">
      <formula>"Compliant"</formula>
    </cfRule>
    <cfRule type="cellIs" priority="6" operator="equal" aboveAverage="0" equalAverage="0" bottom="0" percent="0" rank="0" text="" dxfId="1">
      <formula>"N/A"</formula>
    </cfRule>
    <cfRule type="cellIs" priority="7" operator="equal" aboveAverage="0" equalAverage="0" bottom="0" percent="0" rank="0" text="" dxfId="2">
      <formula>"Non-compliant"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C7:C18" type="list">
      <formula1>Lists!$C$2:$C$4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C26:C34" type="list">
      <formula1>Lists!$C$2:$C$4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19.7" hidden="false" customHeight="false" outlineLevel="0" collapsed="false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417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2" t="s">
        <v>418</v>
      </c>
      <c r="B4" s="12" t="s">
        <v>419</v>
      </c>
      <c r="C4" s="12" t="s">
        <v>420</v>
      </c>
      <c r="D4" s="12" t="s">
        <v>421</v>
      </c>
      <c r="E4" s="12" t="s">
        <v>422</v>
      </c>
      <c r="F4" s="12" t="s">
        <v>423</v>
      </c>
      <c r="G4" s="12" t="s">
        <v>424</v>
      </c>
      <c r="H4" s="12" t="s">
        <v>425</v>
      </c>
      <c r="I4" s="12" t="s">
        <v>52</v>
      </c>
      <c r="J4" s="12" t="s">
        <v>426</v>
      </c>
      <c r="K4" s="12" t="s">
        <v>243</v>
      </c>
    </row>
    <row r="5" customFormat="false" ht="26.85" hidden="false" customHeight="false" outlineLevel="0" collapsed="false">
      <c r="A5" s="10" t="s">
        <v>427</v>
      </c>
      <c r="B5" s="10" t="s">
        <v>428</v>
      </c>
      <c r="C5" s="10" t="s">
        <v>182</v>
      </c>
      <c r="D5" s="24" t="s">
        <v>209</v>
      </c>
      <c r="E5" s="10" t="s">
        <v>429</v>
      </c>
      <c r="F5" s="11" t="n">
        <v>46063</v>
      </c>
      <c r="G5" s="27" t="n">
        <v>12</v>
      </c>
      <c r="H5" s="28" t="n">
        <f aca="false">IF(OR(F5="",G5=""),"",EDATE(F5,G5))</f>
        <v>46428</v>
      </c>
      <c r="I5" s="18" t="str">
        <f aca="false">IF(A5="","",IF(D5="No","Not required",IF(H5="","Not trained",IF(H5&lt;Dashboard!$C$5,"Expired",IF(H5-Dashboard!$C$5&lt;=Lists!$R$6,"Expiring","Current")))))</f>
        <v>Current</v>
      </c>
      <c r="J5" s="24" t="s">
        <v>209</v>
      </c>
      <c r="K5" s="10"/>
    </row>
    <row r="6" customFormat="false" ht="15" hidden="false" customHeight="false" outlineLevel="0" collapsed="false">
      <c r="A6" s="10" t="s">
        <v>430</v>
      </c>
      <c r="B6" s="10" t="s">
        <v>431</v>
      </c>
      <c r="C6" s="10" t="s">
        <v>143</v>
      </c>
      <c r="D6" s="24" t="s">
        <v>209</v>
      </c>
      <c r="E6" s="10" t="s">
        <v>432</v>
      </c>
      <c r="F6" s="11" t="n">
        <v>45915</v>
      </c>
      <c r="G6" s="27" t="n">
        <v>12</v>
      </c>
      <c r="H6" s="28" t="n">
        <f aca="false">IF(OR(F6="",G6=""),"",EDATE(F6,G6))</f>
        <v>46280</v>
      </c>
      <c r="I6" s="18" t="str">
        <f aca="false">IF(A6="","",IF(D6="No","Not required",IF(H6="","Not trained",IF(H6&lt;Dashboard!$C$5,"Expired",IF(H6-Dashboard!$C$5&lt;=Lists!$R$6,"Expiring","Current")))))</f>
        <v>Expired</v>
      </c>
      <c r="J6" s="24" t="s">
        <v>195</v>
      </c>
      <c r="K6" s="10"/>
    </row>
    <row r="7" customFormat="false" ht="26.85" hidden="false" customHeight="false" outlineLevel="0" collapsed="false">
      <c r="A7" s="10" t="s">
        <v>433</v>
      </c>
      <c r="B7" s="10" t="s">
        <v>434</v>
      </c>
      <c r="C7" s="10" t="s">
        <v>149</v>
      </c>
      <c r="D7" s="24" t="s">
        <v>209</v>
      </c>
      <c r="E7" s="10" t="s">
        <v>435</v>
      </c>
      <c r="F7" s="11" t="n">
        <v>45962</v>
      </c>
      <c r="G7" s="27" t="n">
        <v>12</v>
      </c>
      <c r="H7" s="28" t="n">
        <f aca="false">IF(OR(F7="",G7=""),"",EDATE(F7,G7))</f>
        <v>46327</v>
      </c>
      <c r="I7" s="18" t="str">
        <f aca="false">IF(A7="","",IF(D7="No","Not required",IF(H7="","Not trained",IF(H7&lt;Dashboard!$C$5,"Expired",IF(H7-Dashboard!$C$5&lt;=Lists!$R$6,"Expiring","Current")))))</f>
        <v>Expiring</v>
      </c>
      <c r="J7" s="24" t="s">
        <v>209</v>
      </c>
      <c r="K7" s="10"/>
    </row>
    <row r="8" customFormat="false" ht="15" hidden="false" customHeight="false" outlineLevel="0" collapsed="false">
      <c r="A8" s="10" t="s">
        <v>436</v>
      </c>
      <c r="B8" s="10" t="s">
        <v>437</v>
      </c>
      <c r="C8" s="10" t="s">
        <v>285</v>
      </c>
      <c r="D8" s="24" t="s">
        <v>209</v>
      </c>
      <c r="E8" s="10" t="s">
        <v>438</v>
      </c>
      <c r="F8" s="11" t="n">
        <v>46193</v>
      </c>
      <c r="G8" s="27" t="n">
        <v>12</v>
      </c>
      <c r="H8" s="28" t="n">
        <f aca="false">IF(OR(F8="",G8=""),"",EDATE(F8,G8))</f>
        <v>46558</v>
      </c>
      <c r="I8" s="18" t="str">
        <f aca="false">IF(A8="","",IF(D8="No","Not required",IF(H8="","Not trained",IF(H8&lt;Dashboard!$C$5,"Expired",IF(H8-Dashboard!$C$5&lt;=Lists!$R$6,"Expiring","Current")))))</f>
        <v>Current</v>
      </c>
      <c r="J8" s="24" t="s">
        <v>195</v>
      </c>
      <c r="K8" s="10"/>
    </row>
    <row r="9" customFormat="false" ht="15" hidden="false" customHeight="false" outlineLevel="0" collapsed="false">
      <c r="A9" s="10" t="s">
        <v>439</v>
      </c>
      <c r="B9" s="10" t="s">
        <v>440</v>
      </c>
      <c r="C9" s="10" t="s">
        <v>441</v>
      </c>
      <c r="D9" s="24" t="s">
        <v>209</v>
      </c>
      <c r="E9" s="10" t="s">
        <v>442</v>
      </c>
      <c r="F9" s="11"/>
      <c r="G9" s="27" t="n">
        <v>12</v>
      </c>
      <c r="H9" s="28" t="str">
        <f aca="false">IF(OR(F9="",G9=""),"",EDATE(F9,G9))</f>
        <v/>
      </c>
      <c r="I9" s="18" t="str">
        <f aca="false">IF(A9="","",IF(D9="No","Not required",IF(H9="","Not trained",IF(H9&lt;Dashboard!$C$5,"Expired",IF(H9-Dashboard!$C$5&lt;=Lists!$R$6,"Expiring","Current")))))</f>
        <v>Not trained</v>
      </c>
      <c r="J9" s="24" t="s">
        <v>195</v>
      </c>
      <c r="K9" s="10"/>
    </row>
    <row r="10" customFormat="false" ht="15" hidden="false" customHeight="false" outlineLevel="0" collapsed="false">
      <c r="A10" s="10"/>
      <c r="B10" s="10"/>
      <c r="C10" s="10"/>
      <c r="D10" s="24"/>
      <c r="E10" s="10"/>
      <c r="F10" s="11"/>
      <c r="G10" s="27"/>
      <c r="H10" s="28" t="str">
        <f aca="false">IF(OR(F10="",G10=""),"",EDATE(F10,G10))</f>
        <v/>
      </c>
      <c r="I10" s="18" t="str">
        <f aca="false">IF(A10="","",IF(D10="No","Not required",IF(H10="","Not trained",IF(H10&lt;Dashboard!$C$5,"Expired",IF(H10-Dashboard!$C$5&lt;=Lists!$R$6,"Expiring","Current")))))</f>
        <v/>
      </c>
      <c r="J10" s="24"/>
      <c r="K10" s="10"/>
    </row>
    <row r="11" customFormat="false" ht="15" hidden="false" customHeight="false" outlineLevel="0" collapsed="false">
      <c r="A11" s="10"/>
      <c r="B11" s="10"/>
      <c r="C11" s="10"/>
      <c r="D11" s="24"/>
      <c r="E11" s="10"/>
      <c r="F11" s="11"/>
      <c r="G11" s="27"/>
      <c r="H11" s="28" t="str">
        <f aca="false">IF(OR(F11="",G11=""),"",EDATE(F11,G11))</f>
        <v/>
      </c>
      <c r="I11" s="18" t="str">
        <f aca="false">IF(A11="","",IF(D11="No","Not required",IF(H11="","Not trained",IF(H11&lt;Dashboard!$C$5,"Expired",IF(H11-Dashboard!$C$5&lt;=Lists!$R$6,"Expiring","Current")))))</f>
        <v/>
      </c>
      <c r="J11" s="24"/>
      <c r="K11" s="10"/>
    </row>
    <row r="12" customFormat="false" ht="15" hidden="false" customHeight="false" outlineLevel="0" collapsed="false">
      <c r="A12" s="10"/>
      <c r="B12" s="10"/>
      <c r="C12" s="10"/>
      <c r="D12" s="24"/>
      <c r="E12" s="10"/>
      <c r="F12" s="11"/>
      <c r="G12" s="27"/>
      <c r="H12" s="28" t="str">
        <f aca="false">IF(OR(F12="",G12=""),"",EDATE(F12,G12))</f>
        <v/>
      </c>
      <c r="I12" s="18" t="str">
        <f aca="false">IF(A12="","",IF(D12="No","Not required",IF(H12="","Not trained",IF(H12&lt;Dashboard!$C$5,"Expired",IF(H12-Dashboard!$C$5&lt;=Lists!$R$6,"Expiring","Current")))))</f>
        <v/>
      </c>
      <c r="J12" s="24"/>
      <c r="K12" s="10"/>
    </row>
    <row r="13" customFormat="false" ht="15" hidden="false" customHeight="false" outlineLevel="0" collapsed="false">
      <c r="A13" s="10"/>
      <c r="B13" s="10"/>
      <c r="C13" s="10"/>
      <c r="D13" s="24"/>
      <c r="E13" s="10"/>
      <c r="F13" s="11"/>
      <c r="G13" s="27"/>
      <c r="H13" s="28" t="str">
        <f aca="false">IF(OR(F13="",G13=""),"",EDATE(F13,G13))</f>
        <v/>
      </c>
      <c r="I13" s="18" t="str">
        <f aca="false">IF(A13="","",IF(D13="No","Not required",IF(H13="","Not trained",IF(H13&lt;Dashboard!$C$5,"Expired",IF(H13-Dashboard!$C$5&lt;=Lists!$R$6,"Expiring","Current")))))</f>
        <v/>
      </c>
      <c r="J13" s="24"/>
      <c r="K13" s="10"/>
    </row>
    <row r="14" customFormat="false" ht="15" hidden="false" customHeight="false" outlineLevel="0" collapsed="false">
      <c r="A14" s="10"/>
      <c r="B14" s="10"/>
      <c r="C14" s="10"/>
      <c r="D14" s="24"/>
      <c r="E14" s="10"/>
      <c r="F14" s="11"/>
      <c r="G14" s="27"/>
      <c r="H14" s="28" t="str">
        <f aca="false">IF(OR(F14="",G14=""),"",EDATE(F14,G14))</f>
        <v/>
      </c>
      <c r="I14" s="18" t="str">
        <f aca="false">IF(A14="","",IF(D14="No","Not required",IF(H14="","Not trained",IF(H14&lt;Dashboard!$C$5,"Expired",IF(H14-Dashboard!$C$5&lt;=Lists!$R$6,"Expiring","Current")))))</f>
        <v/>
      </c>
      <c r="J14" s="24"/>
      <c r="K14" s="10"/>
    </row>
    <row r="15" customFormat="false" ht="15" hidden="false" customHeight="false" outlineLevel="0" collapsed="false">
      <c r="A15" s="10"/>
      <c r="B15" s="10"/>
      <c r="C15" s="10"/>
      <c r="D15" s="24"/>
      <c r="E15" s="10"/>
      <c r="F15" s="11"/>
      <c r="G15" s="27"/>
      <c r="H15" s="28" t="str">
        <f aca="false">IF(OR(F15="",G15=""),"",EDATE(F15,G15))</f>
        <v/>
      </c>
      <c r="I15" s="18" t="str">
        <f aca="false">IF(A15="","",IF(D15="No","Not required",IF(H15="","Not trained",IF(H15&lt;Dashboard!$C$5,"Expired",IF(H15-Dashboard!$C$5&lt;=Lists!$R$6,"Expiring","Current")))))</f>
        <v/>
      </c>
      <c r="J15" s="24"/>
      <c r="K15" s="10"/>
    </row>
    <row r="16" customFormat="false" ht="15" hidden="false" customHeight="false" outlineLevel="0" collapsed="false">
      <c r="A16" s="10"/>
      <c r="B16" s="10"/>
      <c r="C16" s="10"/>
      <c r="D16" s="24"/>
      <c r="E16" s="10"/>
      <c r="F16" s="11"/>
      <c r="G16" s="27"/>
      <c r="H16" s="28" t="str">
        <f aca="false">IF(OR(F16="",G16=""),"",EDATE(F16,G16))</f>
        <v/>
      </c>
      <c r="I16" s="18" t="str">
        <f aca="false">IF(A16="","",IF(D16="No","Not required",IF(H16="","Not trained",IF(H16&lt;Dashboard!$C$5,"Expired",IF(H16-Dashboard!$C$5&lt;=Lists!$R$6,"Expiring","Current")))))</f>
        <v/>
      </c>
      <c r="J16" s="24"/>
      <c r="K16" s="10"/>
    </row>
    <row r="17" customFormat="false" ht="15" hidden="false" customHeight="false" outlineLevel="0" collapsed="false">
      <c r="A17" s="10"/>
      <c r="B17" s="10"/>
      <c r="C17" s="10"/>
      <c r="D17" s="24"/>
      <c r="E17" s="10"/>
      <c r="F17" s="11"/>
      <c r="G17" s="27"/>
      <c r="H17" s="28" t="str">
        <f aca="false">IF(OR(F17="",G17=""),"",EDATE(F17,G17))</f>
        <v/>
      </c>
      <c r="I17" s="18" t="str">
        <f aca="false">IF(A17="","",IF(D17="No","Not required",IF(H17="","Not trained",IF(H17&lt;Dashboard!$C$5,"Expired",IF(H17-Dashboard!$C$5&lt;=Lists!$R$6,"Expiring","Current")))))</f>
        <v/>
      </c>
      <c r="J17" s="24"/>
      <c r="K17" s="10"/>
    </row>
    <row r="18" customFormat="false" ht="15" hidden="false" customHeight="false" outlineLevel="0" collapsed="false">
      <c r="A18" s="10"/>
      <c r="B18" s="10"/>
      <c r="C18" s="10"/>
      <c r="D18" s="24"/>
      <c r="E18" s="10"/>
      <c r="F18" s="11"/>
      <c r="G18" s="27"/>
      <c r="H18" s="28" t="str">
        <f aca="false">IF(OR(F18="",G18=""),"",EDATE(F18,G18))</f>
        <v/>
      </c>
      <c r="I18" s="18" t="str">
        <f aca="false">IF(A18="","",IF(D18="No","Not required",IF(H18="","Not trained",IF(H18&lt;Dashboard!$C$5,"Expired",IF(H18-Dashboard!$C$5&lt;=Lists!$R$6,"Expiring","Current")))))</f>
        <v/>
      </c>
      <c r="J18" s="24"/>
      <c r="K18" s="10"/>
    </row>
    <row r="19" customFormat="false" ht="15" hidden="false" customHeight="false" outlineLevel="0" collapsed="false">
      <c r="A19" s="10"/>
      <c r="B19" s="10"/>
      <c r="C19" s="10"/>
      <c r="D19" s="24"/>
      <c r="E19" s="10"/>
      <c r="F19" s="11"/>
      <c r="G19" s="27"/>
      <c r="H19" s="28" t="str">
        <f aca="false">IF(OR(F19="",G19=""),"",EDATE(F19,G19))</f>
        <v/>
      </c>
      <c r="I19" s="18" t="str">
        <f aca="false">IF(A19="","",IF(D19="No","Not required",IF(H19="","Not trained",IF(H19&lt;Dashboard!$C$5,"Expired",IF(H19-Dashboard!$C$5&lt;=Lists!$R$6,"Expiring","Current")))))</f>
        <v/>
      </c>
      <c r="J19" s="24"/>
      <c r="K19" s="10"/>
    </row>
    <row r="20" customFormat="false" ht="15" hidden="false" customHeight="false" outlineLevel="0" collapsed="false">
      <c r="A20" s="10"/>
      <c r="B20" s="10"/>
      <c r="C20" s="10"/>
      <c r="D20" s="24"/>
      <c r="E20" s="10"/>
      <c r="F20" s="11"/>
      <c r="G20" s="27"/>
      <c r="H20" s="28" t="str">
        <f aca="false">IF(OR(F20="",G20=""),"",EDATE(F20,G20))</f>
        <v/>
      </c>
      <c r="I20" s="18" t="str">
        <f aca="false">IF(A20="","",IF(D20="No","Not required",IF(H20="","Not trained",IF(H20&lt;Dashboard!$C$5,"Expired",IF(H20-Dashboard!$C$5&lt;=Lists!$R$6,"Expiring","Current")))))</f>
        <v/>
      </c>
      <c r="J20" s="24"/>
      <c r="K20" s="10"/>
    </row>
    <row r="21" customFormat="false" ht="15" hidden="false" customHeight="false" outlineLevel="0" collapsed="false">
      <c r="A21" s="10"/>
      <c r="B21" s="10"/>
      <c r="C21" s="10"/>
      <c r="D21" s="24"/>
      <c r="E21" s="10"/>
      <c r="F21" s="11"/>
      <c r="G21" s="27"/>
      <c r="H21" s="28" t="str">
        <f aca="false">IF(OR(F21="",G21=""),"",EDATE(F21,G21))</f>
        <v/>
      </c>
      <c r="I21" s="18" t="str">
        <f aca="false">IF(A21="","",IF(D21="No","Not required",IF(H21="","Not trained",IF(H21&lt;Dashboard!$C$5,"Expired",IF(H21-Dashboard!$C$5&lt;=Lists!$R$6,"Expiring","Current")))))</f>
        <v/>
      </c>
      <c r="J21" s="24"/>
      <c r="K21" s="10"/>
    </row>
    <row r="22" customFormat="false" ht="15" hidden="false" customHeight="false" outlineLevel="0" collapsed="false">
      <c r="A22" s="10"/>
      <c r="B22" s="10"/>
      <c r="C22" s="10"/>
      <c r="D22" s="24"/>
      <c r="E22" s="10"/>
      <c r="F22" s="11"/>
      <c r="G22" s="27"/>
      <c r="H22" s="28" t="str">
        <f aca="false">IF(OR(F22="",G22=""),"",EDATE(F22,G22))</f>
        <v/>
      </c>
      <c r="I22" s="18" t="str">
        <f aca="false">IF(A22="","",IF(D22="No","Not required",IF(H22="","Not trained",IF(H22&lt;Dashboard!$C$5,"Expired",IF(H22-Dashboard!$C$5&lt;=Lists!$R$6,"Expiring","Current")))))</f>
        <v/>
      </c>
      <c r="J22" s="24"/>
      <c r="K22" s="10"/>
    </row>
    <row r="23" customFormat="false" ht="15" hidden="false" customHeight="false" outlineLevel="0" collapsed="false">
      <c r="A23" s="10"/>
      <c r="B23" s="10"/>
      <c r="C23" s="10"/>
      <c r="D23" s="24"/>
      <c r="E23" s="10"/>
      <c r="F23" s="11"/>
      <c r="G23" s="27"/>
      <c r="H23" s="28" t="str">
        <f aca="false">IF(OR(F23="",G23=""),"",EDATE(F23,G23))</f>
        <v/>
      </c>
      <c r="I23" s="18" t="str">
        <f aca="false">IF(A23="","",IF(D23="No","Not required",IF(H23="","Not trained",IF(H23&lt;Dashboard!$C$5,"Expired",IF(H23-Dashboard!$C$5&lt;=Lists!$R$6,"Expiring","Current")))))</f>
        <v/>
      </c>
      <c r="J23" s="24"/>
      <c r="K23" s="10"/>
    </row>
    <row r="24" customFormat="false" ht="15" hidden="false" customHeight="false" outlineLevel="0" collapsed="false">
      <c r="A24" s="10"/>
      <c r="B24" s="10"/>
      <c r="C24" s="10"/>
      <c r="D24" s="24"/>
      <c r="E24" s="10"/>
      <c r="F24" s="11"/>
      <c r="G24" s="27"/>
      <c r="H24" s="28" t="str">
        <f aca="false">IF(OR(F24="",G24=""),"",EDATE(F24,G24))</f>
        <v/>
      </c>
      <c r="I24" s="18" t="str">
        <f aca="false">IF(A24="","",IF(D24="No","Not required",IF(H24="","Not trained",IF(H24&lt;Dashboard!$C$5,"Expired",IF(H24-Dashboard!$C$5&lt;=Lists!$R$6,"Expiring","Current")))))</f>
        <v/>
      </c>
      <c r="J24" s="24"/>
      <c r="K24" s="10"/>
    </row>
    <row r="25" customFormat="false" ht="15" hidden="false" customHeight="false" outlineLevel="0" collapsed="false">
      <c r="A25" s="10"/>
      <c r="B25" s="10"/>
      <c r="C25" s="10"/>
      <c r="D25" s="24"/>
      <c r="E25" s="10"/>
      <c r="F25" s="11"/>
      <c r="G25" s="27"/>
      <c r="H25" s="28" t="str">
        <f aca="false">IF(OR(F25="",G25=""),"",EDATE(F25,G25))</f>
        <v/>
      </c>
      <c r="I25" s="18" t="str">
        <f aca="false">IF(A25="","",IF(D25="No","Not required",IF(H25="","Not trained",IF(H25&lt;Dashboard!$C$5,"Expired",IF(H25-Dashboard!$C$5&lt;=Lists!$R$6,"Expiring","Current")))))</f>
        <v/>
      </c>
      <c r="J25" s="24"/>
      <c r="K25" s="10"/>
    </row>
    <row r="26" customFormat="false" ht="15" hidden="false" customHeight="false" outlineLevel="0" collapsed="false">
      <c r="A26" s="10"/>
      <c r="B26" s="10"/>
      <c r="C26" s="10"/>
      <c r="D26" s="24"/>
      <c r="E26" s="10"/>
      <c r="F26" s="11"/>
      <c r="G26" s="27"/>
      <c r="H26" s="28" t="str">
        <f aca="false">IF(OR(F26="",G26=""),"",EDATE(F26,G26))</f>
        <v/>
      </c>
      <c r="I26" s="18" t="str">
        <f aca="false">IF(A26="","",IF(D26="No","Not required",IF(H26="","Not trained",IF(H26&lt;Dashboard!$C$5,"Expired",IF(H26-Dashboard!$C$5&lt;=Lists!$R$6,"Expiring","Current")))))</f>
        <v/>
      </c>
      <c r="J26" s="24"/>
      <c r="K26" s="10"/>
    </row>
    <row r="27" customFormat="false" ht="15" hidden="false" customHeight="false" outlineLevel="0" collapsed="false">
      <c r="A27" s="10"/>
      <c r="B27" s="10"/>
      <c r="C27" s="10"/>
      <c r="D27" s="24"/>
      <c r="E27" s="10"/>
      <c r="F27" s="11"/>
      <c r="G27" s="27"/>
      <c r="H27" s="28" t="str">
        <f aca="false">IF(OR(F27="",G27=""),"",EDATE(F27,G27))</f>
        <v/>
      </c>
      <c r="I27" s="18" t="str">
        <f aca="false">IF(A27="","",IF(D27="No","Not required",IF(H27="","Not trained",IF(H27&lt;Dashboard!$C$5,"Expired",IF(H27-Dashboard!$C$5&lt;=Lists!$R$6,"Expiring","Current")))))</f>
        <v/>
      </c>
      <c r="J27" s="24"/>
      <c r="K27" s="10"/>
    </row>
    <row r="28" customFormat="false" ht="15" hidden="false" customHeight="false" outlineLevel="0" collapsed="false">
      <c r="A28" s="10"/>
      <c r="B28" s="10"/>
      <c r="C28" s="10"/>
      <c r="D28" s="24"/>
      <c r="E28" s="10"/>
      <c r="F28" s="11"/>
      <c r="G28" s="27"/>
      <c r="H28" s="28" t="str">
        <f aca="false">IF(OR(F28="",G28=""),"",EDATE(F28,G28))</f>
        <v/>
      </c>
      <c r="I28" s="18" t="str">
        <f aca="false">IF(A28="","",IF(D28="No","Not required",IF(H28="","Not trained",IF(H28&lt;Dashboard!$C$5,"Expired",IF(H28-Dashboard!$C$5&lt;=Lists!$R$6,"Expiring","Current")))))</f>
        <v/>
      </c>
      <c r="J28" s="24"/>
      <c r="K28" s="10"/>
    </row>
    <row r="29" customFormat="false" ht="15" hidden="false" customHeight="false" outlineLevel="0" collapsed="false">
      <c r="A29" s="10"/>
      <c r="B29" s="10"/>
      <c r="C29" s="10"/>
      <c r="D29" s="24"/>
      <c r="E29" s="10"/>
      <c r="F29" s="11"/>
      <c r="G29" s="27"/>
      <c r="H29" s="28" t="str">
        <f aca="false">IF(OR(F29="",G29=""),"",EDATE(F29,G29))</f>
        <v/>
      </c>
      <c r="I29" s="18" t="str">
        <f aca="false">IF(A29="","",IF(D29="No","Not required",IF(H29="","Not trained",IF(H29&lt;Dashboard!$C$5,"Expired",IF(H29-Dashboard!$C$5&lt;=Lists!$R$6,"Expiring","Current")))))</f>
        <v/>
      </c>
      <c r="J29" s="24"/>
      <c r="K29" s="10"/>
    </row>
    <row r="30" customFormat="false" ht="15" hidden="false" customHeight="false" outlineLevel="0" collapsed="false">
      <c r="A30" s="10"/>
      <c r="B30" s="10"/>
      <c r="C30" s="10"/>
      <c r="D30" s="24"/>
      <c r="E30" s="10"/>
      <c r="F30" s="11"/>
      <c r="G30" s="27"/>
      <c r="H30" s="28" t="str">
        <f aca="false">IF(OR(F30="",G30=""),"",EDATE(F30,G30))</f>
        <v/>
      </c>
      <c r="I30" s="18" t="str">
        <f aca="false">IF(A30="","",IF(D30="No","Not required",IF(H30="","Not trained",IF(H30&lt;Dashboard!$C$5,"Expired",IF(H30-Dashboard!$C$5&lt;=Lists!$R$6,"Expiring","Current")))))</f>
        <v/>
      </c>
      <c r="J30" s="24"/>
      <c r="K30" s="10"/>
    </row>
    <row r="31" customFormat="false" ht="15" hidden="false" customHeight="false" outlineLevel="0" collapsed="false">
      <c r="A31" s="10"/>
      <c r="B31" s="10"/>
      <c r="C31" s="10"/>
      <c r="D31" s="24"/>
      <c r="E31" s="10"/>
      <c r="F31" s="11"/>
      <c r="G31" s="27"/>
      <c r="H31" s="28" t="str">
        <f aca="false">IF(OR(F31="",G31=""),"",EDATE(F31,G31))</f>
        <v/>
      </c>
      <c r="I31" s="18" t="str">
        <f aca="false">IF(A31="","",IF(D31="No","Not required",IF(H31="","Not trained",IF(H31&lt;Dashboard!$C$5,"Expired",IF(H31-Dashboard!$C$5&lt;=Lists!$R$6,"Expiring","Current")))))</f>
        <v/>
      </c>
      <c r="J31" s="24"/>
      <c r="K31" s="10"/>
    </row>
    <row r="32" customFormat="false" ht="15" hidden="false" customHeight="false" outlineLevel="0" collapsed="false">
      <c r="A32" s="10"/>
      <c r="B32" s="10"/>
      <c r="C32" s="10"/>
      <c r="D32" s="24"/>
      <c r="E32" s="10"/>
      <c r="F32" s="11"/>
      <c r="G32" s="27"/>
      <c r="H32" s="28" t="str">
        <f aca="false">IF(OR(F32="",G32=""),"",EDATE(F32,G32))</f>
        <v/>
      </c>
      <c r="I32" s="18" t="str">
        <f aca="false">IF(A32="","",IF(D32="No","Not required",IF(H32="","Not trained",IF(H32&lt;Dashboard!$C$5,"Expired",IF(H32-Dashboard!$C$5&lt;=Lists!$R$6,"Expiring","Current")))))</f>
        <v/>
      </c>
      <c r="J32" s="24"/>
      <c r="K32" s="10"/>
    </row>
    <row r="33" customFormat="false" ht="15" hidden="false" customHeight="false" outlineLevel="0" collapsed="false">
      <c r="A33" s="10"/>
      <c r="B33" s="10"/>
      <c r="C33" s="10"/>
      <c r="D33" s="24"/>
      <c r="E33" s="10"/>
      <c r="F33" s="11"/>
      <c r="G33" s="27"/>
      <c r="H33" s="28" t="str">
        <f aca="false">IF(OR(F33="",G33=""),"",EDATE(F33,G33))</f>
        <v/>
      </c>
      <c r="I33" s="18" t="str">
        <f aca="false">IF(A33="","",IF(D33="No","Not required",IF(H33="","Not trained",IF(H33&lt;Dashboard!$C$5,"Expired",IF(H33-Dashboard!$C$5&lt;=Lists!$R$6,"Expiring","Current")))))</f>
        <v/>
      </c>
      <c r="J33" s="24"/>
      <c r="K33" s="10"/>
    </row>
    <row r="34" customFormat="false" ht="15" hidden="false" customHeight="false" outlineLevel="0" collapsed="false">
      <c r="A34" s="10"/>
      <c r="B34" s="10"/>
      <c r="C34" s="10"/>
      <c r="D34" s="24"/>
      <c r="E34" s="10"/>
      <c r="F34" s="11"/>
      <c r="G34" s="27"/>
      <c r="H34" s="28" t="str">
        <f aca="false">IF(OR(F34="",G34=""),"",EDATE(F34,G34))</f>
        <v/>
      </c>
      <c r="I34" s="18" t="str">
        <f aca="false">IF(A34="","",IF(D34="No","Not required",IF(H34="","Not trained",IF(H34&lt;Dashboard!$C$5,"Expired",IF(H34-Dashboard!$C$5&lt;=Lists!$R$6,"Expiring","Current")))))</f>
        <v/>
      </c>
      <c r="J34" s="24"/>
      <c r="K34" s="10"/>
    </row>
    <row r="35" customFormat="false" ht="15" hidden="false" customHeight="false" outlineLevel="0" collapsed="false">
      <c r="A35" s="10"/>
      <c r="B35" s="10"/>
      <c r="C35" s="10"/>
      <c r="D35" s="24"/>
      <c r="E35" s="10"/>
      <c r="F35" s="11"/>
      <c r="G35" s="27"/>
      <c r="H35" s="28" t="str">
        <f aca="false">IF(OR(F35="",G35=""),"",EDATE(F35,G35))</f>
        <v/>
      </c>
      <c r="I35" s="18" t="str">
        <f aca="false">IF(A35="","",IF(D35="No","Not required",IF(H35="","Not trained",IF(H35&lt;Dashboard!$C$5,"Expired",IF(H35-Dashboard!$C$5&lt;=Lists!$R$6,"Expiring","Current")))))</f>
        <v/>
      </c>
      <c r="J35" s="24"/>
      <c r="K35" s="10"/>
    </row>
    <row r="36" customFormat="false" ht="15" hidden="false" customHeight="false" outlineLevel="0" collapsed="false">
      <c r="A36" s="10"/>
      <c r="B36" s="10"/>
      <c r="C36" s="10"/>
      <c r="D36" s="24"/>
      <c r="E36" s="10"/>
      <c r="F36" s="11"/>
      <c r="G36" s="27"/>
      <c r="H36" s="28" t="str">
        <f aca="false">IF(OR(F36="",G36=""),"",EDATE(F36,G36))</f>
        <v/>
      </c>
      <c r="I36" s="18" t="str">
        <f aca="false">IF(A36="","",IF(D36="No","Not required",IF(H36="","Not trained",IF(H36&lt;Dashboard!$C$5,"Expired",IF(H36-Dashboard!$C$5&lt;=Lists!$R$6,"Expiring","Current")))))</f>
        <v/>
      </c>
      <c r="J36" s="24"/>
      <c r="K36" s="10"/>
    </row>
    <row r="37" customFormat="false" ht="15" hidden="false" customHeight="false" outlineLevel="0" collapsed="false">
      <c r="A37" s="10"/>
      <c r="B37" s="10"/>
      <c r="C37" s="10"/>
      <c r="D37" s="24"/>
      <c r="E37" s="10"/>
      <c r="F37" s="11"/>
      <c r="G37" s="27"/>
      <c r="H37" s="28" t="str">
        <f aca="false">IF(OR(F37="",G37=""),"",EDATE(F37,G37))</f>
        <v/>
      </c>
      <c r="I37" s="18" t="str">
        <f aca="false">IF(A37="","",IF(D37="No","Not required",IF(H37="","Not trained",IF(H37&lt;Dashboard!$C$5,"Expired",IF(H37-Dashboard!$C$5&lt;=Lists!$R$6,"Expiring","Current")))))</f>
        <v/>
      </c>
      <c r="J37" s="24"/>
      <c r="K37" s="10"/>
    </row>
    <row r="38" customFormat="false" ht="15" hidden="false" customHeight="false" outlineLevel="0" collapsed="false">
      <c r="A38" s="10"/>
      <c r="B38" s="10"/>
      <c r="C38" s="10"/>
      <c r="D38" s="24"/>
      <c r="E38" s="10"/>
      <c r="F38" s="11"/>
      <c r="G38" s="27"/>
      <c r="H38" s="28" t="str">
        <f aca="false">IF(OR(F38="",G38=""),"",EDATE(F38,G38))</f>
        <v/>
      </c>
      <c r="I38" s="18" t="str">
        <f aca="false">IF(A38="","",IF(D38="No","Not required",IF(H38="","Not trained",IF(H38&lt;Dashboard!$C$5,"Expired",IF(H38-Dashboard!$C$5&lt;=Lists!$R$6,"Expiring","Current")))))</f>
        <v/>
      </c>
      <c r="J38" s="24"/>
      <c r="K38" s="10"/>
    </row>
    <row r="39" customFormat="false" ht="15" hidden="false" customHeight="false" outlineLevel="0" collapsed="false">
      <c r="A39" s="10"/>
      <c r="B39" s="10"/>
      <c r="C39" s="10"/>
      <c r="D39" s="24"/>
      <c r="E39" s="10"/>
      <c r="F39" s="11"/>
      <c r="G39" s="27"/>
      <c r="H39" s="28" t="str">
        <f aca="false">IF(OR(F39="",G39=""),"",EDATE(F39,G39))</f>
        <v/>
      </c>
      <c r="I39" s="18" t="str">
        <f aca="false">IF(A39="","",IF(D39="No","Not required",IF(H39="","Not trained",IF(H39&lt;Dashboard!$C$5,"Expired",IF(H39-Dashboard!$C$5&lt;=Lists!$R$6,"Expiring","Current")))))</f>
        <v/>
      </c>
      <c r="J39" s="24"/>
      <c r="K39" s="10"/>
    </row>
    <row r="40" customFormat="false" ht="15" hidden="false" customHeight="false" outlineLevel="0" collapsed="false">
      <c r="A40" s="10"/>
      <c r="B40" s="10"/>
      <c r="C40" s="10"/>
      <c r="D40" s="24"/>
      <c r="E40" s="10"/>
      <c r="F40" s="11"/>
      <c r="G40" s="27"/>
      <c r="H40" s="28" t="str">
        <f aca="false">IF(OR(F40="",G40=""),"",EDATE(F40,G40))</f>
        <v/>
      </c>
      <c r="I40" s="18" t="str">
        <f aca="false">IF(A40="","",IF(D40="No","Not required",IF(H40="","Not trained",IF(H40&lt;Dashboard!$C$5,"Expired",IF(H40-Dashboard!$C$5&lt;=Lists!$R$6,"Expiring","Current")))))</f>
        <v/>
      </c>
      <c r="J40" s="24"/>
      <c r="K40" s="10"/>
    </row>
    <row r="41" customFormat="false" ht="15" hidden="false" customHeight="false" outlineLevel="0" collapsed="false">
      <c r="A41" s="10"/>
      <c r="B41" s="10"/>
      <c r="C41" s="10"/>
      <c r="D41" s="24"/>
      <c r="E41" s="10"/>
      <c r="F41" s="11"/>
      <c r="G41" s="27"/>
      <c r="H41" s="28" t="str">
        <f aca="false">IF(OR(F41="",G41=""),"",EDATE(F41,G41))</f>
        <v/>
      </c>
      <c r="I41" s="18" t="str">
        <f aca="false">IF(A41="","",IF(D41="No","Not required",IF(H41="","Not trained",IF(H41&lt;Dashboard!$C$5,"Expired",IF(H41-Dashboard!$C$5&lt;=Lists!$R$6,"Expiring","Current")))))</f>
        <v/>
      </c>
      <c r="J41" s="24"/>
      <c r="K41" s="10"/>
    </row>
    <row r="42" customFormat="false" ht="15" hidden="false" customHeight="false" outlineLevel="0" collapsed="false">
      <c r="A42" s="10"/>
      <c r="B42" s="10"/>
      <c r="C42" s="10"/>
      <c r="D42" s="24"/>
      <c r="E42" s="10"/>
      <c r="F42" s="11"/>
      <c r="G42" s="27"/>
      <c r="H42" s="28" t="str">
        <f aca="false">IF(OR(F42="",G42=""),"",EDATE(F42,G42))</f>
        <v/>
      </c>
      <c r="I42" s="18" t="str">
        <f aca="false">IF(A42="","",IF(D42="No","Not required",IF(H42="","Not trained",IF(H42&lt;Dashboard!$C$5,"Expired",IF(H42-Dashboard!$C$5&lt;=Lists!$R$6,"Expiring","Current")))))</f>
        <v/>
      </c>
      <c r="J42" s="24"/>
      <c r="K42" s="10"/>
    </row>
    <row r="43" customFormat="false" ht="15" hidden="false" customHeight="false" outlineLevel="0" collapsed="false">
      <c r="A43" s="10"/>
      <c r="B43" s="10"/>
      <c r="C43" s="10"/>
      <c r="D43" s="24"/>
      <c r="E43" s="10"/>
      <c r="F43" s="11"/>
      <c r="G43" s="27"/>
      <c r="H43" s="28" t="str">
        <f aca="false">IF(OR(F43="",G43=""),"",EDATE(F43,G43))</f>
        <v/>
      </c>
      <c r="I43" s="18" t="str">
        <f aca="false">IF(A43="","",IF(D43="No","Not required",IF(H43="","Not trained",IF(H43&lt;Dashboard!$C$5,"Expired",IF(H43-Dashboard!$C$5&lt;=Lists!$R$6,"Expiring","Current")))))</f>
        <v/>
      </c>
      <c r="J43" s="24"/>
      <c r="K43" s="10"/>
    </row>
    <row r="44" customFormat="false" ht="15" hidden="false" customHeight="false" outlineLevel="0" collapsed="false">
      <c r="A44" s="10"/>
      <c r="B44" s="10"/>
      <c r="C44" s="10"/>
      <c r="D44" s="24"/>
      <c r="E44" s="10"/>
      <c r="F44" s="11"/>
      <c r="G44" s="27"/>
      <c r="H44" s="28" t="str">
        <f aca="false">IF(OR(F44="",G44=""),"",EDATE(F44,G44))</f>
        <v/>
      </c>
      <c r="I44" s="18" t="str">
        <f aca="false">IF(A44="","",IF(D44="No","Not required",IF(H44="","Not trained",IF(H44&lt;Dashboard!$C$5,"Expired",IF(H44-Dashboard!$C$5&lt;=Lists!$R$6,"Expiring","Current")))))</f>
        <v/>
      </c>
      <c r="J44" s="24"/>
      <c r="K44" s="10"/>
    </row>
    <row r="45" customFormat="false" ht="15" hidden="false" customHeight="false" outlineLevel="0" collapsed="false">
      <c r="A45" s="10"/>
      <c r="B45" s="10"/>
      <c r="C45" s="10"/>
      <c r="D45" s="24"/>
      <c r="E45" s="10"/>
      <c r="F45" s="11"/>
      <c r="G45" s="27"/>
      <c r="H45" s="28" t="str">
        <f aca="false">IF(OR(F45="",G45=""),"",EDATE(F45,G45))</f>
        <v/>
      </c>
      <c r="I45" s="18" t="str">
        <f aca="false">IF(A45="","",IF(D45="No","Not required",IF(H45="","Not trained",IF(H45&lt;Dashboard!$C$5,"Expired",IF(H45-Dashboard!$C$5&lt;=Lists!$R$6,"Expiring","Current")))))</f>
        <v/>
      </c>
      <c r="J45" s="24"/>
      <c r="K45" s="10"/>
    </row>
    <row r="46" customFormat="false" ht="15" hidden="false" customHeight="false" outlineLevel="0" collapsed="false">
      <c r="A46" s="10"/>
      <c r="B46" s="10"/>
      <c r="C46" s="10"/>
      <c r="D46" s="24"/>
      <c r="E46" s="10"/>
      <c r="F46" s="11"/>
      <c r="G46" s="27"/>
      <c r="H46" s="28" t="str">
        <f aca="false">IF(OR(F46="",G46=""),"",EDATE(F46,G46))</f>
        <v/>
      </c>
      <c r="I46" s="18" t="str">
        <f aca="false">IF(A46="","",IF(D46="No","Not required",IF(H46="","Not trained",IF(H46&lt;Dashboard!$C$5,"Expired",IF(H46-Dashboard!$C$5&lt;=Lists!$R$6,"Expiring","Current")))))</f>
        <v/>
      </c>
      <c r="J46" s="24"/>
      <c r="K46" s="10"/>
    </row>
    <row r="47" customFormat="false" ht="15" hidden="false" customHeight="false" outlineLevel="0" collapsed="false">
      <c r="A47" s="10"/>
      <c r="B47" s="10"/>
      <c r="C47" s="10"/>
      <c r="D47" s="24"/>
      <c r="E47" s="10"/>
      <c r="F47" s="11"/>
      <c r="G47" s="27"/>
      <c r="H47" s="28" t="str">
        <f aca="false">IF(OR(F47="",G47=""),"",EDATE(F47,G47))</f>
        <v/>
      </c>
      <c r="I47" s="18" t="str">
        <f aca="false">IF(A47="","",IF(D47="No","Not required",IF(H47="","Not trained",IF(H47&lt;Dashboard!$C$5,"Expired",IF(H47-Dashboard!$C$5&lt;=Lists!$R$6,"Expiring","Current")))))</f>
        <v/>
      </c>
      <c r="J47" s="24"/>
      <c r="K47" s="10"/>
    </row>
    <row r="48" customFormat="false" ht="15" hidden="false" customHeight="false" outlineLevel="0" collapsed="false">
      <c r="A48" s="10"/>
      <c r="B48" s="10"/>
      <c r="C48" s="10"/>
      <c r="D48" s="24"/>
      <c r="E48" s="10"/>
      <c r="F48" s="11"/>
      <c r="G48" s="27"/>
      <c r="H48" s="28" t="str">
        <f aca="false">IF(OR(F48="",G48=""),"",EDATE(F48,G48))</f>
        <v/>
      </c>
      <c r="I48" s="18" t="str">
        <f aca="false">IF(A48="","",IF(D48="No","Not required",IF(H48="","Not trained",IF(H48&lt;Dashboard!$C$5,"Expired",IF(H48-Dashboard!$C$5&lt;=Lists!$R$6,"Expiring","Current")))))</f>
        <v/>
      </c>
      <c r="J48" s="24"/>
      <c r="K48" s="10"/>
    </row>
    <row r="49" customFormat="false" ht="15" hidden="false" customHeight="false" outlineLevel="0" collapsed="false">
      <c r="A49" s="10"/>
      <c r="B49" s="10"/>
      <c r="C49" s="10"/>
      <c r="D49" s="24"/>
      <c r="E49" s="10"/>
      <c r="F49" s="11"/>
      <c r="G49" s="27"/>
      <c r="H49" s="28" t="str">
        <f aca="false">IF(OR(F49="",G49=""),"",EDATE(F49,G49))</f>
        <v/>
      </c>
      <c r="I49" s="18" t="str">
        <f aca="false">IF(A49="","",IF(D49="No","Not required",IF(H49="","Not trained",IF(H49&lt;Dashboard!$C$5,"Expired",IF(H49-Dashboard!$C$5&lt;=Lists!$R$6,"Expiring","Current")))))</f>
        <v/>
      </c>
      <c r="J49" s="24"/>
      <c r="K49" s="10"/>
    </row>
    <row r="50" customFormat="false" ht="15" hidden="false" customHeight="false" outlineLevel="0" collapsed="false">
      <c r="A50" s="10"/>
      <c r="B50" s="10"/>
      <c r="C50" s="10"/>
      <c r="D50" s="24"/>
      <c r="E50" s="10"/>
      <c r="F50" s="11"/>
      <c r="G50" s="27"/>
      <c r="H50" s="28" t="str">
        <f aca="false">IF(OR(F50="",G50=""),"",EDATE(F50,G50))</f>
        <v/>
      </c>
      <c r="I50" s="18" t="str">
        <f aca="false">IF(A50="","",IF(D50="No","Not required",IF(H50="","Not trained",IF(H50&lt;Dashboard!$C$5,"Expired",IF(H50-Dashboard!$C$5&lt;=Lists!$R$6,"Expiring","Current")))))</f>
        <v/>
      </c>
      <c r="J50" s="24"/>
      <c r="K50" s="10"/>
    </row>
    <row r="51" customFormat="false" ht="15" hidden="false" customHeight="false" outlineLevel="0" collapsed="false">
      <c r="A51" s="10"/>
      <c r="B51" s="10"/>
      <c r="C51" s="10"/>
      <c r="D51" s="24"/>
      <c r="E51" s="10"/>
      <c r="F51" s="11"/>
      <c r="G51" s="27"/>
      <c r="H51" s="28" t="str">
        <f aca="false">IF(OR(F51="",G51=""),"",EDATE(F51,G51))</f>
        <v/>
      </c>
      <c r="I51" s="18" t="str">
        <f aca="false">IF(A51="","",IF(D51="No","Not required",IF(H51="","Not trained",IF(H51&lt;Dashboard!$C$5,"Expired",IF(H51-Dashboard!$C$5&lt;=Lists!$R$6,"Expiring","Current")))))</f>
        <v/>
      </c>
      <c r="J51" s="24"/>
      <c r="K51" s="10"/>
    </row>
    <row r="52" customFormat="false" ht="15" hidden="false" customHeight="false" outlineLevel="0" collapsed="false">
      <c r="A52" s="10"/>
      <c r="B52" s="10"/>
      <c r="C52" s="10"/>
      <c r="D52" s="24"/>
      <c r="E52" s="10"/>
      <c r="F52" s="11"/>
      <c r="G52" s="27"/>
      <c r="H52" s="28" t="str">
        <f aca="false">IF(OR(F52="",G52=""),"",EDATE(F52,G52))</f>
        <v/>
      </c>
      <c r="I52" s="18" t="str">
        <f aca="false">IF(A52="","",IF(D52="No","Not required",IF(H52="","Not trained",IF(H52&lt;Dashboard!$C$5,"Expired",IF(H52-Dashboard!$C$5&lt;=Lists!$R$6,"Expiring","Current")))))</f>
        <v/>
      </c>
      <c r="J52" s="24"/>
      <c r="K52" s="10"/>
    </row>
    <row r="53" customFormat="false" ht="15" hidden="false" customHeight="false" outlineLevel="0" collapsed="false">
      <c r="A53" s="10"/>
      <c r="B53" s="10"/>
      <c r="C53" s="10"/>
      <c r="D53" s="24"/>
      <c r="E53" s="10"/>
      <c r="F53" s="11"/>
      <c r="G53" s="27"/>
      <c r="H53" s="28" t="str">
        <f aca="false">IF(OR(F53="",G53=""),"",EDATE(F53,G53))</f>
        <v/>
      </c>
      <c r="I53" s="18" t="str">
        <f aca="false">IF(A53="","",IF(D53="No","Not required",IF(H53="","Not trained",IF(H53&lt;Dashboard!$C$5,"Expired",IF(H53-Dashboard!$C$5&lt;=Lists!$R$6,"Expiring","Current")))))</f>
        <v/>
      </c>
      <c r="J53" s="24"/>
      <c r="K53" s="10"/>
    </row>
    <row r="54" customFormat="false" ht="15" hidden="false" customHeight="false" outlineLevel="0" collapsed="false">
      <c r="A54" s="10"/>
      <c r="B54" s="10"/>
      <c r="C54" s="10"/>
      <c r="D54" s="24"/>
      <c r="E54" s="10"/>
      <c r="F54" s="11"/>
      <c r="G54" s="27"/>
      <c r="H54" s="28" t="str">
        <f aca="false">IF(OR(F54="",G54=""),"",EDATE(F54,G54))</f>
        <v/>
      </c>
      <c r="I54" s="18" t="str">
        <f aca="false">IF(A54="","",IF(D54="No","Not required",IF(H54="","Not trained",IF(H54&lt;Dashboard!$C$5,"Expired",IF(H54-Dashboard!$C$5&lt;=Lists!$R$6,"Expiring","Current")))))</f>
        <v/>
      </c>
      <c r="J54" s="24"/>
      <c r="K54" s="10"/>
    </row>
    <row r="55" customFormat="false" ht="15" hidden="false" customHeight="false" outlineLevel="0" collapsed="false">
      <c r="A55" s="10"/>
      <c r="B55" s="10"/>
      <c r="C55" s="10"/>
      <c r="D55" s="24"/>
      <c r="E55" s="10"/>
      <c r="F55" s="11"/>
      <c r="G55" s="27"/>
      <c r="H55" s="28" t="str">
        <f aca="false">IF(OR(F55="",G55=""),"",EDATE(F55,G55))</f>
        <v/>
      </c>
      <c r="I55" s="18" t="str">
        <f aca="false">IF(A55="","",IF(D55="No","Not required",IF(H55="","Not trained",IF(H55&lt;Dashboard!$C$5,"Expired",IF(H55-Dashboard!$C$5&lt;=Lists!$R$6,"Expiring","Current")))))</f>
        <v/>
      </c>
      <c r="J55" s="24"/>
      <c r="K55" s="10"/>
    </row>
    <row r="56" customFormat="false" ht="15" hidden="false" customHeight="false" outlineLevel="0" collapsed="false">
      <c r="A56" s="10"/>
      <c r="B56" s="10"/>
      <c r="C56" s="10"/>
      <c r="D56" s="24"/>
      <c r="E56" s="10"/>
      <c r="F56" s="11"/>
      <c r="G56" s="27"/>
      <c r="H56" s="28" t="str">
        <f aca="false">IF(OR(F56="",G56=""),"",EDATE(F56,G56))</f>
        <v/>
      </c>
      <c r="I56" s="18" t="str">
        <f aca="false">IF(A56="","",IF(D56="No","Not required",IF(H56="","Not trained",IF(H56&lt;Dashboard!$C$5,"Expired",IF(H56-Dashboard!$C$5&lt;=Lists!$R$6,"Expiring","Current")))))</f>
        <v/>
      </c>
      <c r="J56" s="24"/>
      <c r="K56" s="10"/>
    </row>
    <row r="57" customFormat="false" ht="15" hidden="false" customHeight="false" outlineLevel="0" collapsed="false">
      <c r="A57" s="10"/>
      <c r="B57" s="10"/>
      <c r="C57" s="10"/>
      <c r="D57" s="24"/>
      <c r="E57" s="10"/>
      <c r="F57" s="11"/>
      <c r="G57" s="27"/>
      <c r="H57" s="28" t="str">
        <f aca="false">IF(OR(F57="",G57=""),"",EDATE(F57,G57))</f>
        <v/>
      </c>
      <c r="I57" s="18" t="str">
        <f aca="false">IF(A57="","",IF(D57="No","Not required",IF(H57="","Not trained",IF(H57&lt;Dashboard!$C$5,"Expired",IF(H57-Dashboard!$C$5&lt;=Lists!$R$6,"Expiring","Current")))))</f>
        <v/>
      </c>
      <c r="J57" s="24"/>
      <c r="K57" s="10"/>
    </row>
    <row r="58" customFormat="false" ht="15" hidden="false" customHeight="false" outlineLevel="0" collapsed="false">
      <c r="A58" s="10"/>
      <c r="B58" s="10"/>
      <c r="C58" s="10"/>
      <c r="D58" s="24"/>
      <c r="E58" s="10"/>
      <c r="F58" s="11"/>
      <c r="G58" s="27"/>
      <c r="H58" s="28" t="str">
        <f aca="false">IF(OR(F58="",G58=""),"",EDATE(F58,G58))</f>
        <v/>
      </c>
      <c r="I58" s="18" t="str">
        <f aca="false">IF(A58="","",IF(D58="No","Not required",IF(H58="","Not trained",IF(H58&lt;Dashboard!$C$5,"Expired",IF(H58-Dashboard!$C$5&lt;=Lists!$R$6,"Expiring","Current")))))</f>
        <v/>
      </c>
      <c r="J58" s="24"/>
      <c r="K58" s="10"/>
    </row>
    <row r="59" customFormat="false" ht="15" hidden="false" customHeight="false" outlineLevel="0" collapsed="false">
      <c r="A59" s="10"/>
      <c r="B59" s="10"/>
      <c r="C59" s="10"/>
      <c r="D59" s="24"/>
      <c r="E59" s="10"/>
      <c r="F59" s="11"/>
      <c r="G59" s="27"/>
      <c r="H59" s="28" t="str">
        <f aca="false">IF(OR(F59="",G59=""),"",EDATE(F59,G59))</f>
        <v/>
      </c>
      <c r="I59" s="18" t="str">
        <f aca="false">IF(A59="","",IF(D59="No","Not required",IF(H59="","Not trained",IF(H59&lt;Dashboard!$C$5,"Expired",IF(H59-Dashboard!$C$5&lt;=Lists!$R$6,"Expiring","Current")))))</f>
        <v/>
      </c>
      <c r="J59" s="24"/>
      <c r="K59" s="10"/>
    </row>
    <row r="60" customFormat="false" ht="15" hidden="false" customHeight="false" outlineLevel="0" collapsed="false">
      <c r="A60" s="10"/>
      <c r="B60" s="10"/>
      <c r="C60" s="10"/>
      <c r="D60" s="24"/>
      <c r="E60" s="10"/>
      <c r="F60" s="11"/>
      <c r="G60" s="27"/>
      <c r="H60" s="28" t="str">
        <f aca="false">IF(OR(F60="",G60=""),"",EDATE(F60,G60))</f>
        <v/>
      </c>
      <c r="I60" s="18" t="str">
        <f aca="false">IF(A60="","",IF(D60="No","Not required",IF(H60="","Not trained",IF(H60&lt;Dashboard!$C$5,"Expired",IF(H60-Dashboard!$C$5&lt;=Lists!$R$6,"Expiring","Current")))))</f>
        <v/>
      </c>
      <c r="J60" s="24"/>
      <c r="K60" s="10"/>
    </row>
    <row r="61" customFormat="false" ht="15" hidden="false" customHeight="false" outlineLevel="0" collapsed="false">
      <c r="A61" s="10"/>
      <c r="B61" s="10"/>
      <c r="C61" s="10"/>
      <c r="D61" s="24"/>
      <c r="E61" s="10"/>
      <c r="F61" s="11"/>
      <c r="G61" s="27"/>
      <c r="H61" s="28" t="str">
        <f aca="false">IF(OR(F61="",G61=""),"",EDATE(F61,G61))</f>
        <v/>
      </c>
      <c r="I61" s="18" t="str">
        <f aca="false">IF(A61="","",IF(D61="No","Not required",IF(H61="","Not trained",IF(H61&lt;Dashboard!$C$5,"Expired",IF(H61-Dashboard!$C$5&lt;=Lists!$R$6,"Expiring","Current")))))</f>
        <v/>
      </c>
      <c r="J61" s="24"/>
      <c r="K61" s="10"/>
    </row>
    <row r="62" customFormat="false" ht="15" hidden="false" customHeight="false" outlineLevel="0" collapsed="false">
      <c r="A62" s="10"/>
      <c r="B62" s="10"/>
      <c r="C62" s="10"/>
      <c r="D62" s="24"/>
      <c r="E62" s="10"/>
      <c r="F62" s="11"/>
      <c r="G62" s="27"/>
      <c r="H62" s="28" t="str">
        <f aca="false">IF(OR(F62="",G62=""),"",EDATE(F62,G62))</f>
        <v/>
      </c>
      <c r="I62" s="18" t="str">
        <f aca="false">IF(A62="","",IF(D62="No","Not required",IF(H62="","Not trained",IF(H62&lt;Dashboard!$C$5,"Expired",IF(H62-Dashboard!$C$5&lt;=Lists!$R$6,"Expiring","Current")))))</f>
        <v/>
      </c>
      <c r="J62" s="24"/>
      <c r="K62" s="10"/>
    </row>
    <row r="63" customFormat="false" ht="15" hidden="false" customHeight="false" outlineLevel="0" collapsed="false">
      <c r="A63" s="10"/>
      <c r="B63" s="10"/>
      <c r="C63" s="10"/>
      <c r="D63" s="24"/>
      <c r="E63" s="10"/>
      <c r="F63" s="11"/>
      <c r="G63" s="27"/>
      <c r="H63" s="28" t="str">
        <f aca="false">IF(OR(F63="",G63=""),"",EDATE(F63,G63))</f>
        <v/>
      </c>
      <c r="I63" s="18" t="str">
        <f aca="false">IF(A63="","",IF(D63="No","Not required",IF(H63="","Not trained",IF(H63&lt;Dashboard!$C$5,"Expired",IF(H63-Dashboard!$C$5&lt;=Lists!$R$6,"Expiring","Current")))))</f>
        <v/>
      </c>
      <c r="J63" s="24"/>
      <c r="K63" s="10"/>
    </row>
    <row r="64" customFormat="false" ht="15" hidden="false" customHeight="false" outlineLevel="0" collapsed="false">
      <c r="A64" s="10"/>
      <c r="B64" s="10"/>
      <c r="C64" s="10"/>
      <c r="D64" s="24"/>
      <c r="E64" s="10"/>
      <c r="F64" s="11"/>
      <c r="G64" s="27"/>
      <c r="H64" s="28" t="str">
        <f aca="false">IF(OR(F64="",G64=""),"",EDATE(F64,G64))</f>
        <v/>
      </c>
      <c r="I64" s="18" t="str">
        <f aca="false">IF(A64="","",IF(D64="No","Not required",IF(H64="","Not trained",IF(H64&lt;Dashboard!$C$5,"Expired",IF(H64-Dashboard!$C$5&lt;=Lists!$R$6,"Expiring","Current")))))</f>
        <v/>
      </c>
      <c r="J64" s="24"/>
      <c r="K64" s="10"/>
    </row>
    <row r="65" customFormat="false" ht="15" hidden="false" customHeight="false" outlineLevel="0" collapsed="false">
      <c r="A65" s="10"/>
      <c r="B65" s="10"/>
      <c r="C65" s="10"/>
      <c r="D65" s="24"/>
      <c r="E65" s="10"/>
      <c r="F65" s="11"/>
      <c r="G65" s="27"/>
      <c r="H65" s="28" t="str">
        <f aca="false">IF(OR(F65="",G65=""),"",EDATE(F65,G65))</f>
        <v/>
      </c>
      <c r="I65" s="18" t="str">
        <f aca="false">IF(A65="","",IF(D65="No","Not required",IF(H65="","Not trained",IF(H65&lt;Dashboard!$C$5,"Expired",IF(H65-Dashboard!$C$5&lt;=Lists!$R$6,"Expiring","Current")))))</f>
        <v/>
      </c>
      <c r="J65" s="24"/>
      <c r="K65" s="10"/>
    </row>
    <row r="66" customFormat="false" ht="15" hidden="false" customHeight="false" outlineLevel="0" collapsed="false">
      <c r="A66" s="10"/>
      <c r="B66" s="10"/>
      <c r="C66" s="10"/>
      <c r="D66" s="24"/>
      <c r="E66" s="10"/>
      <c r="F66" s="11"/>
      <c r="G66" s="27"/>
      <c r="H66" s="28" t="str">
        <f aca="false">IF(OR(F66="",G66=""),"",EDATE(F66,G66))</f>
        <v/>
      </c>
      <c r="I66" s="18" t="str">
        <f aca="false">IF(A66="","",IF(D66="No","Not required",IF(H66="","Not trained",IF(H66&lt;Dashboard!$C$5,"Expired",IF(H66-Dashboard!$C$5&lt;=Lists!$R$6,"Expiring","Current")))))</f>
        <v/>
      </c>
      <c r="J66" s="24"/>
      <c r="K66" s="10"/>
    </row>
    <row r="67" customFormat="false" ht="15" hidden="false" customHeight="false" outlineLevel="0" collapsed="false">
      <c r="A67" s="10"/>
      <c r="B67" s="10"/>
      <c r="C67" s="10"/>
      <c r="D67" s="24"/>
      <c r="E67" s="10"/>
      <c r="F67" s="11"/>
      <c r="G67" s="27"/>
      <c r="H67" s="28" t="str">
        <f aca="false">IF(OR(F67="",G67=""),"",EDATE(F67,G67))</f>
        <v/>
      </c>
      <c r="I67" s="18" t="str">
        <f aca="false">IF(A67="","",IF(D67="No","Not required",IF(H67="","Not trained",IF(H67&lt;Dashboard!$C$5,"Expired",IF(H67-Dashboard!$C$5&lt;=Lists!$R$6,"Expiring","Current")))))</f>
        <v/>
      </c>
      <c r="J67" s="24"/>
      <c r="K67" s="10"/>
    </row>
    <row r="68" customFormat="false" ht="15" hidden="false" customHeight="false" outlineLevel="0" collapsed="false">
      <c r="A68" s="10"/>
      <c r="B68" s="10"/>
      <c r="C68" s="10"/>
      <c r="D68" s="24"/>
      <c r="E68" s="10"/>
      <c r="F68" s="11"/>
      <c r="G68" s="27"/>
      <c r="H68" s="28" t="str">
        <f aca="false">IF(OR(F68="",G68=""),"",EDATE(F68,G68))</f>
        <v/>
      </c>
      <c r="I68" s="18" t="str">
        <f aca="false">IF(A68="","",IF(D68="No","Not required",IF(H68="","Not trained",IF(H68&lt;Dashboard!$C$5,"Expired",IF(H68-Dashboard!$C$5&lt;=Lists!$R$6,"Expiring","Current")))))</f>
        <v/>
      </c>
      <c r="J68" s="24"/>
      <c r="K68" s="10"/>
    </row>
    <row r="69" customFormat="false" ht="15" hidden="false" customHeight="false" outlineLevel="0" collapsed="false">
      <c r="A69" s="10"/>
      <c r="B69" s="10"/>
      <c r="C69" s="10"/>
      <c r="D69" s="24"/>
      <c r="E69" s="10"/>
      <c r="F69" s="11"/>
      <c r="G69" s="27"/>
      <c r="H69" s="28" t="str">
        <f aca="false">IF(OR(F69="",G69=""),"",EDATE(F69,G69))</f>
        <v/>
      </c>
      <c r="I69" s="18" t="str">
        <f aca="false">IF(A69="","",IF(D69="No","Not required",IF(H69="","Not trained",IF(H69&lt;Dashboard!$C$5,"Expired",IF(H69-Dashboard!$C$5&lt;=Lists!$R$6,"Expiring","Current")))))</f>
        <v/>
      </c>
      <c r="J69" s="24"/>
      <c r="K69" s="10"/>
    </row>
    <row r="70" customFormat="false" ht="15" hidden="false" customHeight="false" outlineLevel="0" collapsed="false">
      <c r="A70" s="10"/>
      <c r="B70" s="10"/>
      <c r="C70" s="10"/>
      <c r="D70" s="24"/>
      <c r="E70" s="10"/>
      <c r="F70" s="11"/>
      <c r="G70" s="27"/>
      <c r="H70" s="28" t="str">
        <f aca="false">IF(OR(F70="",G70=""),"",EDATE(F70,G70))</f>
        <v/>
      </c>
      <c r="I70" s="18" t="str">
        <f aca="false">IF(A70="","",IF(D70="No","Not required",IF(H70="","Not trained",IF(H70&lt;Dashboard!$C$5,"Expired",IF(H70-Dashboard!$C$5&lt;=Lists!$R$6,"Expiring","Current")))))</f>
        <v/>
      </c>
      <c r="J70" s="24"/>
      <c r="K70" s="10"/>
    </row>
    <row r="71" customFormat="false" ht="15" hidden="false" customHeight="false" outlineLevel="0" collapsed="false">
      <c r="A71" s="10"/>
      <c r="B71" s="10"/>
      <c r="C71" s="10"/>
      <c r="D71" s="24"/>
      <c r="E71" s="10"/>
      <c r="F71" s="11"/>
      <c r="G71" s="27"/>
      <c r="H71" s="28" t="str">
        <f aca="false">IF(OR(F71="",G71=""),"",EDATE(F71,G71))</f>
        <v/>
      </c>
      <c r="I71" s="18" t="str">
        <f aca="false">IF(A71="","",IF(D71="No","Not required",IF(H71="","Not trained",IF(H71&lt;Dashboard!$C$5,"Expired",IF(H71-Dashboard!$C$5&lt;=Lists!$R$6,"Expiring","Current")))))</f>
        <v/>
      </c>
      <c r="J71" s="24"/>
      <c r="K71" s="10"/>
    </row>
    <row r="72" customFormat="false" ht="15" hidden="false" customHeight="false" outlineLevel="0" collapsed="false">
      <c r="A72" s="10"/>
      <c r="B72" s="10"/>
      <c r="C72" s="10"/>
      <c r="D72" s="24"/>
      <c r="E72" s="10"/>
      <c r="F72" s="11"/>
      <c r="G72" s="27"/>
      <c r="H72" s="28" t="str">
        <f aca="false">IF(OR(F72="",G72=""),"",EDATE(F72,G72))</f>
        <v/>
      </c>
      <c r="I72" s="18" t="str">
        <f aca="false">IF(A72="","",IF(D72="No","Not required",IF(H72="","Not trained",IF(H72&lt;Dashboard!$C$5,"Expired",IF(H72-Dashboard!$C$5&lt;=Lists!$R$6,"Expiring","Current")))))</f>
        <v/>
      </c>
      <c r="J72" s="24"/>
      <c r="K72" s="10"/>
    </row>
    <row r="73" customFormat="false" ht="15" hidden="false" customHeight="false" outlineLevel="0" collapsed="false">
      <c r="A73" s="10"/>
      <c r="B73" s="10"/>
      <c r="C73" s="10"/>
      <c r="D73" s="24"/>
      <c r="E73" s="10"/>
      <c r="F73" s="11"/>
      <c r="G73" s="27"/>
      <c r="H73" s="28" t="str">
        <f aca="false">IF(OR(F73="",G73=""),"",EDATE(F73,G73))</f>
        <v/>
      </c>
      <c r="I73" s="18" t="str">
        <f aca="false">IF(A73="","",IF(D73="No","Not required",IF(H73="","Not trained",IF(H73&lt;Dashboard!$C$5,"Expired",IF(H73-Dashboard!$C$5&lt;=Lists!$R$6,"Expiring","Current")))))</f>
        <v/>
      </c>
      <c r="J73" s="24"/>
      <c r="K73" s="10"/>
    </row>
    <row r="74" customFormat="false" ht="15" hidden="false" customHeight="false" outlineLevel="0" collapsed="false">
      <c r="A74" s="10"/>
      <c r="B74" s="10"/>
      <c r="C74" s="10"/>
      <c r="D74" s="24"/>
      <c r="E74" s="10"/>
      <c r="F74" s="11"/>
      <c r="G74" s="27"/>
      <c r="H74" s="28" t="str">
        <f aca="false">IF(OR(F74="",G74=""),"",EDATE(F74,G74))</f>
        <v/>
      </c>
      <c r="I74" s="18" t="str">
        <f aca="false">IF(A74="","",IF(D74="No","Not required",IF(H74="","Not trained",IF(H74&lt;Dashboard!$C$5,"Expired",IF(H74-Dashboard!$C$5&lt;=Lists!$R$6,"Expiring","Current")))))</f>
        <v/>
      </c>
      <c r="J74" s="24"/>
      <c r="K74" s="10"/>
    </row>
    <row r="75" customFormat="false" ht="15" hidden="false" customHeight="false" outlineLevel="0" collapsed="false">
      <c r="A75" s="10"/>
      <c r="B75" s="10"/>
      <c r="C75" s="10"/>
      <c r="D75" s="24"/>
      <c r="E75" s="10"/>
      <c r="F75" s="11"/>
      <c r="G75" s="27"/>
      <c r="H75" s="28" t="str">
        <f aca="false">IF(OR(F75="",G75=""),"",EDATE(F75,G75))</f>
        <v/>
      </c>
      <c r="I75" s="18" t="str">
        <f aca="false">IF(A75="","",IF(D75="No","Not required",IF(H75="","Not trained",IF(H75&lt;Dashboard!$C$5,"Expired",IF(H75-Dashboard!$C$5&lt;=Lists!$R$6,"Expiring","Current")))))</f>
        <v/>
      </c>
      <c r="J75" s="24"/>
      <c r="K75" s="10"/>
    </row>
    <row r="76" customFormat="false" ht="15" hidden="false" customHeight="false" outlineLevel="0" collapsed="false">
      <c r="A76" s="10"/>
      <c r="B76" s="10"/>
      <c r="C76" s="10"/>
      <c r="D76" s="24"/>
      <c r="E76" s="10"/>
      <c r="F76" s="11"/>
      <c r="G76" s="27"/>
      <c r="H76" s="28" t="str">
        <f aca="false">IF(OR(F76="",G76=""),"",EDATE(F76,G76))</f>
        <v/>
      </c>
      <c r="I76" s="18" t="str">
        <f aca="false">IF(A76="","",IF(D76="No","Not required",IF(H76="","Not trained",IF(H76&lt;Dashboard!$C$5,"Expired",IF(H76-Dashboard!$C$5&lt;=Lists!$R$6,"Expiring","Current")))))</f>
        <v/>
      </c>
      <c r="J76" s="24"/>
      <c r="K76" s="10"/>
    </row>
    <row r="77" customFormat="false" ht="15" hidden="false" customHeight="false" outlineLevel="0" collapsed="false">
      <c r="A77" s="10"/>
      <c r="B77" s="10"/>
      <c r="C77" s="10"/>
      <c r="D77" s="24"/>
      <c r="E77" s="10"/>
      <c r="F77" s="11"/>
      <c r="G77" s="27"/>
      <c r="H77" s="28" t="str">
        <f aca="false">IF(OR(F77="",G77=""),"",EDATE(F77,G77))</f>
        <v/>
      </c>
      <c r="I77" s="18" t="str">
        <f aca="false">IF(A77="","",IF(D77="No","Not required",IF(H77="","Not trained",IF(H77&lt;Dashboard!$C$5,"Expired",IF(H77-Dashboard!$C$5&lt;=Lists!$R$6,"Expiring","Current")))))</f>
        <v/>
      </c>
      <c r="J77" s="24"/>
      <c r="K77" s="10"/>
    </row>
    <row r="78" customFormat="false" ht="15" hidden="false" customHeight="false" outlineLevel="0" collapsed="false">
      <c r="A78" s="10"/>
      <c r="B78" s="10"/>
      <c r="C78" s="10"/>
      <c r="D78" s="24"/>
      <c r="E78" s="10"/>
      <c r="F78" s="11"/>
      <c r="G78" s="27"/>
      <c r="H78" s="28" t="str">
        <f aca="false">IF(OR(F78="",G78=""),"",EDATE(F78,G78))</f>
        <v/>
      </c>
      <c r="I78" s="18" t="str">
        <f aca="false">IF(A78="","",IF(D78="No","Not required",IF(H78="","Not trained",IF(H78&lt;Dashboard!$C$5,"Expired",IF(H78-Dashboard!$C$5&lt;=Lists!$R$6,"Expiring","Current")))))</f>
        <v/>
      </c>
      <c r="J78" s="24"/>
      <c r="K78" s="10"/>
    </row>
    <row r="79" customFormat="false" ht="15" hidden="false" customHeight="false" outlineLevel="0" collapsed="false">
      <c r="A79" s="10"/>
      <c r="B79" s="10"/>
      <c r="C79" s="10"/>
      <c r="D79" s="24"/>
      <c r="E79" s="10"/>
      <c r="F79" s="11"/>
      <c r="G79" s="27"/>
      <c r="H79" s="28" t="str">
        <f aca="false">IF(OR(F79="",G79=""),"",EDATE(F79,G79))</f>
        <v/>
      </c>
      <c r="I79" s="18" t="str">
        <f aca="false">IF(A79="","",IF(D79="No","Not required",IF(H79="","Not trained",IF(H79&lt;Dashboard!$C$5,"Expired",IF(H79-Dashboard!$C$5&lt;=Lists!$R$6,"Expiring","Current")))))</f>
        <v/>
      </c>
      <c r="J79" s="24"/>
      <c r="K79" s="10"/>
    </row>
    <row r="80" customFormat="false" ht="15" hidden="false" customHeight="false" outlineLevel="0" collapsed="false">
      <c r="A80" s="10"/>
      <c r="B80" s="10"/>
      <c r="C80" s="10"/>
      <c r="D80" s="24"/>
      <c r="E80" s="10"/>
      <c r="F80" s="11"/>
      <c r="G80" s="27"/>
      <c r="H80" s="28" t="str">
        <f aca="false">IF(OR(F80="",G80=""),"",EDATE(F80,G80))</f>
        <v/>
      </c>
      <c r="I80" s="18" t="str">
        <f aca="false">IF(A80="","",IF(D80="No","Not required",IF(H80="","Not trained",IF(H80&lt;Dashboard!$C$5,"Expired",IF(H80-Dashboard!$C$5&lt;=Lists!$R$6,"Expiring","Current")))))</f>
        <v/>
      </c>
      <c r="J80" s="24"/>
      <c r="K80" s="10"/>
    </row>
    <row r="81" customFormat="false" ht="15" hidden="false" customHeight="false" outlineLevel="0" collapsed="false">
      <c r="A81" s="10"/>
      <c r="B81" s="10"/>
      <c r="C81" s="10"/>
      <c r="D81" s="24"/>
      <c r="E81" s="10"/>
      <c r="F81" s="11"/>
      <c r="G81" s="27"/>
      <c r="H81" s="28" t="str">
        <f aca="false">IF(OR(F81="",G81=""),"",EDATE(F81,G81))</f>
        <v/>
      </c>
      <c r="I81" s="18" t="str">
        <f aca="false">IF(A81="","",IF(D81="No","Not required",IF(H81="","Not trained",IF(H81&lt;Dashboard!$C$5,"Expired",IF(H81-Dashboard!$C$5&lt;=Lists!$R$6,"Expiring","Current")))))</f>
        <v/>
      </c>
      <c r="J81" s="24"/>
      <c r="K81" s="10"/>
    </row>
    <row r="82" customFormat="false" ht="15" hidden="false" customHeight="false" outlineLevel="0" collapsed="false">
      <c r="A82" s="10"/>
      <c r="B82" s="10"/>
      <c r="C82" s="10"/>
      <c r="D82" s="24"/>
      <c r="E82" s="10"/>
      <c r="F82" s="11"/>
      <c r="G82" s="27"/>
      <c r="H82" s="28" t="str">
        <f aca="false">IF(OR(F82="",G82=""),"",EDATE(F82,G82))</f>
        <v/>
      </c>
      <c r="I82" s="18" t="str">
        <f aca="false">IF(A82="","",IF(D82="No","Not required",IF(H82="","Not trained",IF(H82&lt;Dashboard!$C$5,"Expired",IF(H82-Dashboard!$C$5&lt;=Lists!$R$6,"Expiring","Current")))))</f>
        <v/>
      </c>
      <c r="J82" s="24"/>
      <c r="K82" s="10"/>
    </row>
    <row r="83" customFormat="false" ht="15" hidden="false" customHeight="false" outlineLevel="0" collapsed="false">
      <c r="A83" s="10"/>
      <c r="B83" s="10"/>
      <c r="C83" s="10"/>
      <c r="D83" s="24"/>
      <c r="E83" s="10"/>
      <c r="F83" s="11"/>
      <c r="G83" s="27"/>
      <c r="H83" s="28" t="str">
        <f aca="false">IF(OR(F83="",G83=""),"",EDATE(F83,G83))</f>
        <v/>
      </c>
      <c r="I83" s="18" t="str">
        <f aca="false">IF(A83="","",IF(D83="No","Not required",IF(H83="","Not trained",IF(H83&lt;Dashboard!$C$5,"Expired",IF(H83-Dashboard!$C$5&lt;=Lists!$R$6,"Expiring","Current")))))</f>
        <v/>
      </c>
      <c r="J83" s="24"/>
      <c r="K83" s="10"/>
    </row>
    <row r="84" customFormat="false" ht="15" hidden="false" customHeight="false" outlineLevel="0" collapsed="false">
      <c r="A84" s="10"/>
      <c r="B84" s="10"/>
      <c r="C84" s="10"/>
      <c r="D84" s="24"/>
      <c r="E84" s="10"/>
      <c r="F84" s="11"/>
      <c r="G84" s="27"/>
      <c r="H84" s="28" t="str">
        <f aca="false">IF(OR(F84="",G84=""),"",EDATE(F84,G84))</f>
        <v/>
      </c>
      <c r="I84" s="18" t="str">
        <f aca="false">IF(A84="","",IF(D84="No","Not required",IF(H84="","Not trained",IF(H84&lt;Dashboard!$C$5,"Expired",IF(H84-Dashboard!$C$5&lt;=Lists!$R$6,"Expiring","Current")))))</f>
        <v/>
      </c>
      <c r="J84" s="24"/>
      <c r="K84" s="10"/>
    </row>
    <row r="85" customFormat="false" ht="15" hidden="false" customHeight="false" outlineLevel="0" collapsed="false">
      <c r="A85" s="10"/>
      <c r="B85" s="10"/>
      <c r="C85" s="10"/>
      <c r="D85" s="24"/>
      <c r="E85" s="10"/>
      <c r="F85" s="11"/>
      <c r="G85" s="27"/>
      <c r="H85" s="28" t="str">
        <f aca="false">IF(OR(F85="",G85=""),"",EDATE(F85,G85))</f>
        <v/>
      </c>
      <c r="I85" s="18" t="str">
        <f aca="false">IF(A85="","",IF(D85="No","Not required",IF(H85="","Not trained",IF(H85&lt;Dashboard!$C$5,"Expired",IF(H85-Dashboard!$C$5&lt;=Lists!$R$6,"Expiring","Current")))))</f>
        <v/>
      </c>
      <c r="J85" s="24"/>
      <c r="K85" s="10"/>
    </row>
    <row r="86" customFormat="false" ht="15" hidden="false" customHeight="false" outlineLevel="0" collapsed="false">
      <c r="A86" s="10"/>
      <c r="B86" s="10"/>
      <c r="C86" s="10"/>
      <c r="D86" s="24"/>
      <c r="E86" s="10"/>
      <c r="F86" s="11"/>
      <c r="G86" s="27"/>
      <c r="H86" s="28" t="str">
        <f aca="false">IF(OR(F86="",G86=""),"",EDATE(F86,G86))</f>
        <v/>
      </c>
      <c r="I86" s="18" t="str">
        <f aca="false">IF(A86="","",IF(D86="No","Not required",IF(H86="","Not trained",IF(H86&lt;Dashboard!$C$5,"Expired",IF(H86-Dashboard!$C$5&lt;=Lists!$R$6,"Expiring","Current")))))</f>
        <v/>
      </c>
      <c r="J86" s="24"/>
      <c r="K86" s="10"/>
    </row>
    <row r="87" customFormat="false" ht="15" hidden="false" customHeight="false" outlineLevel="0" collapsed="false">
      <c r="A87" s="10"/>
      <c r="B87" s="10"/>
      <c r="C87" s="10"/>
      <c r="D87" s="24"/>
      <c r="E87" s="10"/>
      <c r="F87" s="11"/>
      <c r="G87" s="27"/>
      <c r="H87" s="28" t="str">
        <f aca="false">IF(OR(F87="",G87=""),"",EDATE(F87,G87))</f>
        <v/>
      </c>
      <c r="I87" s="18" t="str">
        <f aca="false">IF(A87="","",IF(D87="No","Not required",IF(H87="","Not trained",IF(H87&lt;Dashboard!$C$5,"Expired",IF(H87-Dashboard!$C$5&lt;=Lists!$R$6,"Expiring","Current")))))</f>
        <v/>
      </c>
      <c r="J87" s="24"/>
      <c r="K87" s="10"/>
    </row>
    <row r="88" customFormat="false" ht="15" hidden="false" customHeight="false" outlineLevel="0" collapsed="false">
      <c r="A88" s="10"/>
      <c r="B88" s="10"/>
      <c r="C88" s="10"/>
      <c r="D88" s="24"/>
      <c r="E88" s="10"/>
      <c r="F88" s="11"/>
      <c r="G88" s="27"/>
      <c r="H88" s="28" t="str">
        <f aca="false">IF(OR(F88="",G88=""),"",EDATE(F88,G88))</f>
        <v/>
      </c>
      <c r="I88" s="18" t="str">
        <f aca="false">IF(A88="","",IF(D88="No","Not required",IF(H88="","Not trained",IF(H88&lt;Dashboard!$C$5,"Expired",IF(H88-Dashboard!$C$5&lt;=Lists!$R$6,"Expiring","Current")))))</f>
        <v/>
      </c>
      <c r="J88" s="24"/>
      <c r="K88" s="10"/>
    </row>
    <row r="89" customFormat="false" ht="15" hidden="false" customHeight="false" outlineLevel="0" collapsed="false">
      <c r="A89" s="10"/>
      <c r="B89" s="10"/>
      <c r="C89" s="10"/>
      <c r="D89" s="24"/>
      <c r="E89" s="10"/>
      <c r="F89" s="11"/>
      <c r="G89" s="27"/>
      <c r="H89" s="28" t="str">
        <f aca="false">IF(OR(F89="",G89=""),"",EDATE(F89,G89))</f>
        <v/>
      </c>
      <c r="I89" s="18" t="str">
        <f aca="false">IF(A89="","",IF(D89="No","Not required",IF(H89="","Not trained",IF(H89&lt;Dashboard!$C$5,"Expired",IF(H89-Dashboard!$C$5&lt;=Lists!$R$6,"Expiring","Current")))))</f>
        <v/>
      </c>
      <c r="J89" s="24"/>
      <c r="K89" s="10"/>
    </row>
    <row r="90" customFormat="false" ht="15" hidden="false" customHeight="false" outlineLevel="0" collapsed="false">
      <c r="A90" s="10"/>
      <c r="B90" s="10"/>
      <c r="C90" s="10"/>
      <c r="D90" s="24"/>
      <c r="E90" s="10"/>
      <c r="F90" s="11"/>
      <c r="G90" s="27"/>
      <c r="H90" s="28" t="str">
        <f aca="false">IF(OR(F90="",G90=""),"",EDATE(F90,G90))</f>
        <v/>
      </c>
      <c r="I90" s="18" t="str">
        <f aca="false">IF(A90="","",IF(D90="No","Not required",IF(H90="","Not trained",IF(H90&lt;Dashboard!$C$5,"Expired",IF(H90-Dashboard!$C$5&lt;=Lists!$R$6,"Expiring","Current")))))</f>
        <v/>
      </c>
      <c r="J90" s="24"/>
      <c r="K90" s="10"/>
    </row>
    <row r="91" customFormat="false" ht="15" hidden="false" customHeight="false" outlineLevel="0" collapsed="false">
      <c r="A91" s="10"/>
      <c r="B91" s="10"/>
      <c r="C91" s="10"/>
      <c r="D91" s="24"/>
      <c r="E91" s="10"/>
      <c r="F91" s="11"/>
      <c r="G91" s="27"/>
      <c r="H91" s="28" t="str">
        <f aca="false">IF(OR(F91="",G91=""),"",EDATE(F91,G91))</f>
        <v/>
      </c>
      <c r="I91" s="18" t="str">
        <f aca="false">IF(A91="","",IF(D91="No","Not required",IF(H91="","Not trained",IF(H91&lt;Dashboard!$C$5,"Expired",IF(H91-Dashboard!$C$5&lt;=Lists!$R$6,"Expiring","Current")))))</f>
        <v/>
      </c>
      <c r="J91" s="24"/>
      <c r="K91" s="10"/>
    </row>
    <row r="92" customFormat="false" ht="15" hidden="false" customHeight="false" outlineLevel="0" collapsed="false">
      <c r="A92" s="10"/>
      <c r="B92" s="10"/>
      <c r="C92" s="10"/>
      <c r="D92" s="24"/>
      <c r="E92" s="10"/>
      <c r="F92" s="11"/>
      <c r="G92" s="27"/>
      <c r="H92" s="28" t="str">
        <f aca="false">IF(OR(F92="",G92=""),"",EDATE(F92,G92))</f>
        <v/>
      </c>
      <c r="I92" s="18" t="str">
        <f aca="false">IF(A92="","",IF(D92="No","Not required",IF(H92="","Not trained",IF(H92&lt;Dashboard!$C$5,"Expired",IF(H92-Dashboard!$C$5&lt;=Lists!$R$6,"Expiring","Current")))))</f>
        <v/>
      </c>
      <c r="J92" s="24"/>
      <c r="K92" s="10"/>
    </row>
    <row r="93" customFormat="false" ht="15" hidden="false" customHeight="false" outlineLevel="0" collapsed="false">
      <c r="A93" s="10"/>
      <c r="B93" s="10"/>
      <c r="C93" s="10"/>
      <c r="D93" s="24"/>
      <c r="E93" s="10"/>
      <c r="F93" s="11"/>
      <c r="G93" s="27"/>
      <c r="H93" s="28" t="str">
        <f aca="false">IF(OR(F93="",G93=""),"",EDATE(F93,G93))</f>
        <v/>
      </c>
      <c r="I93" s="18" t="str">
        <f aca="false">IF(A93="","",IF(D93="No","Not required",IF(H93="","Not trained",IF(H93&lt;Dashboard!$C$5,"Expired",IF(H93-Dashboard!$C$5&lt;=Lists!$R$6,"Expiring","Current")))))</f>
        <v/>
      </c>
      <c r="J93" s="24"/>
      <c r="K93" s="10"/>
    </row>
    <row r="94" customFormat="false" ht="15" hidden="false" customHeight="false" outlineLevel="0" collapsed="false">
      <c r="A94" s="10"/>
      <c r="B94" s="10"/>
      <c r="C94" s="10"/>
      <c r="D94" s="24"/>
      <c r="E94" s="10"/>
      <c r="F94" s="11"/>
      <c r="G94" s="27"/>
      <c r="H94" s="28" t="str">
        <f aca="false">IF(OR(F94="",G94=""),"",EDATE(F94,G94))</f>
        <v/>
      </c>
      <c r="I94" s="18" t="str">
        <f aca="false">IF(A94="","",IF(D94="No","Not required",IF(H94="","Not trained",IF(H94&lt;Dashboard!$C$5,"Expired",IF(H94-Dashboard!$C$5&lt;=Lists!$R$6,"Expiring","Current")))))</f>
        <v/>
      </c>
      <c r="J94" s="24"/>
      <c r="K94" s="10"/>
    </row>
    <row r="95" customFormat="false" ht="15" hidden="false" customHeight="false" outlineLevel="0" collapsed="false">
      <c r="A95" s="10"/>
      <c r="B95" s="10"/>
      <c r="C95" s="10"/>
      <c r="D95" s="24"/>
      <c r="E95" s="10"/>
      <c r="F95" s="11"/>
      <c r="G95" s="27"/>
      <c r="H95" s="28" t="str">
        <f aca="false">IF(OR(F95="",G95=""),"",EDATE(F95,G95))</f>
        <v/>
      </c>
      <c r="I95" s="18" t="str">
        <f aca="false">IF(A95="","",IF(D95="No","Not required",IF(H95="","Not trained",IF(H95&lt;Dashboard!$C$5,"Expired",IF(H95-Dashboard!$C$5&lt;=Lists!$R$6,"Expiring","Current")))))</f>
        <v/>
      </c>
      <c r="J95" s="24"/>
      <c r="K95" s="10"/>
    </row>
    <row r="96" customFormat="false" ht="15" hidden="false" customHeight="false" outlineLevel="0" collapsed="false">
      <c r="A96" s="10"/>
      <c r="B96" s="10"/>
      <c r="C96" s="10"/>
      <c r="D96" s="24"/>
      <c r="E96" s="10"/>
      <c r="F96" s="11"/>
      <c r="G96" s="27"/>
      <c r="H96" s="28" t="str">
        <f aca="false">IF(OR(F96="",G96=""),"",EDATE(F96,G96))</f>
        <v/>
      </c>
      <c r="I96" s="18" t="str">
        <f aca="false">IF(A96="","",IF(D96="No","Not required",IF(H96="","Not trained",IF(H96&lt;Dashboard!$C$5,"Expired",IF(H96-Dashboard!$C$5&lt;=Lists!$R$6,"Expiring","Current")))))</f>
        <v/>
      </c>
      <c r="J96" s="24"/>
      <c r="K96" s="10"/>
    </row>
    <row r="97" customFormat="false" ht="15" hidden="false" customHeight="false" outlineLevel="0" collapsed="false">
      <c r="A97" s="10"/>
      <c r="B97" s="10"/>
      <c r="C97" s="10"/>
      <c r="D97" s="24"/>
      <c r="E97" s="10"/>
      <c r="F97" s="11"/>
      <c r="G97" s="27"/>
      <c r="H97" s="28" t="str">
        <f aca="false">IF(OR(F97="",G97=""),"",EDATE(F97,G97))</f>
        <v/>
      </c>
      <c r="I97" s="18" t="str">
        <f aca="false">IF(A97="","",IF(D97="No","Not required",IF(H97="","Not trained",IF(H97&lt;Dashboard!$C$5,"Expired",IF(H97-Dashboard!$C$5&lt;=Lists!$R$6,"Expiring","Current")))))</f>
        <v/>
      </c>
      <c r="J97" s="24"/>
      <c r="K97" s="10"/>
    </row>
    <row r="98" customFormat="false" ht="15" hidden="false" customHeight="false" outlineLevel="0" collapsed="false">
      <c r="A98" s="10"/>
      <c r="B98" s="10"/>
      <c r="C98" s="10"/>
      <c r="D98" s="24"/>
      <c r="E98" s="10"/>
      <c r="F98" s="11"/>
      <c r="G98" s="27"/>
      <c r="H98" s="28" t="str">
        <f aca="false">IF(OR(F98="",G98=""),"",EDATE(F98,G98))</f>
        <v/>
      </c>
      <c r="I98" s="18" t="str">
        <f aca="false">IF(A98="","",IF(D98="No","Not required",IF(H98="","Not trained",IF(H98&lt;Dashboard!$C$5,"Expired",IF(H98-Dashboard!$C$5&lt;=Lists!$R$6,"Expiring","Current")))))</f>
        <v/>
      </c>
      <c r="J98" s="24"/>
      <c r="K98" s="10"/>
    </row>
    <row r="99" customFormat="false" ht="15" hidden="false" customHeight="false" outlineLevel="0" collapsed="false">
      <c r="A99" s="10"/>
      <c r="B99" s="10"/>
      <c r="C99" s="10"/>
      <c r="D99" s="24"/>
      <c r="E99" s="10"/>
      <c r="F99" s="11"/>
      <c r="G99" s="27"/>
      <c r="H99" s="28" t="str">
        <f aca="false">IF(OR(F99="",G99=""),"",EDATE(F99,G99))</f>
        <v/>
      </c>
      <c r="I99" s="18" t="str">
        <f aca="false">IF(A99="","",IF(D99="No","Not required",IF(H99="","Not trained",IF(H99&lt;Dashboard!$C$5,"Expired",IF(H99-Dashboard!$C$5&lt;=Lists!$R$6,"Expiring","Current")))))</f>
        <v/>
      </c>
      <c r="J99" s="24"/>
      <c r="K99" s="10"/>
    </row>
    <row r="100" customFormat="false" ht="15" hidden="false" customHeight="false" outlineLevel="0" collapsed="false">
      <c r="A100" s="10"/>
      <c r="B100" s="10"/>
      <c r="C100" s="10"/>
      <c r="D100" s="24"/>
      <c r="E100" s="10"/>
      <c r="F100" s="11"/>
      <c r="G100" s="27"/>
      <c r="H100" s="28" t="str">
        <f aca="false">IF(OR(F100="",G100=""),"",EDATE(F100,G100))</f>
        <v/>
      </c>
      <c r="I100" s="18" t="str">
        <f aca="false">IF(A100="","",IF(D100="No","Not required",IF(H100="","Not trained",IF(H100&lt;Dashboard!$C$5,"Expired",IF(H100-Dashboard!$C$5&lt;=Lists!$R$6,"Expiring","Current")))))</f>
        <v/>
      </c>
      <c r="J100" s="24"/>
      <c r="K100" s="10"/>
    </row>
    <row r="101" customFormat="false" ht="15" hidden="false" customHeight="false" outlineLevel="0" collapsed="false">
      <c r="A101" s="10"/>
      <c r="B101" s="10"/>
      <c r="C101" s="10"/>
      <c r="D101" s="24"/>
      <c r="E101" s="10"/>
      <c r="F101" s="11"/>
      <c r="G101" s="27"/>
      <c r="H101" s="28" t="str">
        <f aca="false">IF(OR(F101="",G101=""),"",EDATE(F101,G101))</f>
        <v/>
      </c>
      <c r="I101" s="18" t="str">
        <f aca="false">IF(A101="","",IF(D101="No","Not required",IF(H101="","Not trained",IF(H101&lt;Dashboard!$C$5,"Expired",IF(H101-Dashboard!$C$5&lt;=Lists!$R$6,"Expiring","Current")))))</f>
        <v/>
      </c>
      <c r="J101" s="24"/>
      <c r="K101" s="10"/>
    </row>
    <row r="102" customFormat="false" ht="15" hidden="false" customHeight="false" outlineLevel="0" collapsed="false">
      <c r="A102" s="10"/>
      <c r="B102" s="10"/>
      <c r="C102" s="10"/>
      <c r="D102" s="24"/>
      <c r="E102" s="10"/>
      <c r="F102" s="11"/>
      <c r="G102" s="27"/>
      <c r="H102" s="28" t="str">
        <f aca="false">IF(OR(F102="",G102=""),"",EDATE(F102,G102))</f>
        <v/>
      </c>
      <c r="I102" s="18" t="str">
        <f aca="false">IF(A102="","",IF(D102="No","Not required",IF(H102="","Not trained",IF(H102&lt;Dashboard!$C$5,"Expired",IF(H102-Dashboard!$C$5&lt;=Lists!$R$6,"Expiring","Current")))))</f>
        <v/>
      </c>
      <c r="J102" s="24"/>
      <c r="K102" s="10"/>
    </row>
    <row r="103" customFormat="false" ht="15" hidden="false" customHeight="false" outlineLevel="0" collapsed="false">
      <c r="A103" s="10"/>
      <c r="B103" s="10"/>
      <c r="C103" s="10"/>
      <c r="D103" s="24"/>
      <c r="E103" s="10"/>
      <c r="F103" s="11"/>
      <c r="G103" s="27"/>
      <c r="H103" s="28" t="str">
        <f aca="false">IF(OR(F103="",G103=""),"",EDATE(F103,G103))</f>
        <v/>
      </c>
      <c r="I103" s="18" t="str">
        <f aca="false">IF(A103="","",IF(D103="No","Not required",IF(H103="","Not trained",IF(H103&lt;Dashboard!$C$5,"Expired",IF(H103-Dashboard!$C$5&lt;=Lists!$R$6,"Expiring","Current")))))</f>
        <v/>
      </c>
      <c r="J103" s="24"/>
      <c r="K103" s="10"/>
    </row>
    <row r="104" customFormat="false" ht="15" hidden="false" customHeight="false" outlineLevel="0" collapsed="false">
      <c r="A104" s="10"/>
      <c r="B104" s="10"/>
      <c r="C104" s="10"/>
      <c r="D104" s="24"/>
      <c r="E104" s="10"/>
      <c r="F104" s="11"/>
      <c r="G104" s="27"/>
      <c r="H104" s="28" t="str">
        <f aca="false">IF(OR(F104="",G104=""),"",EDATE(F104,G104))</f>
        <v/>
      </c>
      <c r="I104" s="18" t="str">
        <f aca="false">IF(A104="","",IF(D104="No","Not required",IF(H104="","Not trained",IF(H104&lt;Dashboard!$C$5,"Expired",IF(H104-Dashboard!$C$5&lt;=Lists!$R$6,"Expiring","Current")))))</f>
        <v/>
      </c>
      <c r="J104" s="24"/>
      <c r="K104" s="10"/>
    </row>
    <row r="105" customFormat="false" ht="15" hidden="false" customHeight="false" outlineLevel="0" collapsed="false">
      <c r="A105" s="10"/>
      <c r="B105" s="10"/>
      <c r="C105" s="10"/>
      <c r="D105" s="24"/>
      <c r="E105" s="10"/>
      <c r="F105" s="11"/>
      <c r="G105" s="27"/>
      <c r="H105" s="28" t="str">
        <f aca="false">IF(OR(F105="",G105=""),"",EDATE(F105,G105))</f>
        <v/>
      </c>
      <c r="I105" s="18" t="str">
        <f aca="false">IF(A105="","",IF(D105="No","Not required",IF(H105="","Not trained",IF(H105&lt;Dashboard!$C$5,"Expired",IF(H105-Dashboard!$C$5&lt;=Lists!$R$6,"Expiring","Current")))))</f>
        <v/>
      </c>
      <c r="J105" s="24"/>
      <c r="K105" s="10"/>
    </row>
    <row r="106" customFormat="false" ht="15" hidden="false" customHeight="false" outlineLevel="0" collapsed="false">
      <c r="A106" s="10"/>
      <c r="B106" s="10"/>
      <c r="C106" s="10"/>
      <c r="D106" s="24"/>
      <c r="E106" s="10"/>
      <c r="F106" s="11"/>
      <c r="G106" s="27"/>
      <c r="H106" s="28" t="str">
        <f aca="false">IF(OR(F106="",G106=""),"",EDATE(F106,G106))</f>
        <v/>
      </c>
      <c r="I106" s="18" t="str">
        <f aca="false">IF(A106="","",IF(D106="No","Not required",IF(H106="","Not trained",IF(H106&lt;Dashboard!$C$5,"Expired",IF(H106-Dashboard!$C$5&lt;=Lists!$R$6,"Expiring","Current")))))</f>
        <v/>
      </c>
      <c r="J106" s="24"/>
      <c r="K106" s="10"/>
    </row>
    <row r="107" customFormat="false" ht="15" hidden="false" customHeight="false" outlineLevel="0" collapsed="false">
      <c r="A107" s="10"/>
      <c r="B107" s="10"/>
      <c r="C107" s="10"/>
      <c r="D107" s="24"/>
      <c r="E107" s="10"/>
      <c r="F107" s="11"/>
      <c r="G107" s="27"/>
      <c r="H107" s="28" t="str">
        <f aca="false">IF(OR(F107="",G107=""),"",EDATE(F107,G107))</f>
        <v/>
      </c>
      <c r="I107" s="18" t="str">
        <f aca="false">IF(A107="","",IF(D107="No","Not required",IF(H107="","Not trained",IF(H107&lt;Dashboard!$C$5,"Expired",IF(H107-Dashboard!$C$5&lt;=Lists!$R$6,"Expiring","Current")))))</f>
        <v/>
      </c>
      <c r="J107" s="24"/>
      <c r="K107" s="10"/>
    </row>
    <row r="108" customFormat="false" ht="15" hidden="false" customHeight="false" outlineLevel="0" collapsed="false">
      <c r="A108" s="10"/>
      <c r="B108" s="10"/>
      <c r="C108" s="10"/>
      <c r="D108" s="24"/>
      <c r="E108" s="10"/>
      <c r="F108" s="11"/>
      <c r="G108" s="27"/>
      <c r="H108" s="28" t="str">
        <f aca="false">IF(OR(F108="",G108=""),"",EDATE(F108,G108))</f>
        <v/>
      </c>
      <c r="I108" s="18" t="str">
        <f aca="false">IF(A108="","",IF(D108="No","Not required",IF(H108="","Not trained",IF(H108&lt;Dashboard!$C$5,"Expired",IF(H108-Dashboard!$C$5&lt;=Lists!$R$6,"Expiring","Current")))))</f>
        <v/>
      </c>
      <c r="J108" s="24"/>
      <c r="K108" s="10"/>
    </row>
    <row r="109" customFormat="false" ht="15" hidden="false" customHeight="false" outlineLevel="0" collapsed="false">
      <c r="A109" s="10"/>
      <c r="B109" s="10"/>
      <c r="C109" s="10"/>
      <c r="D109" s="24"/>
      <c r="E109" s="10"/>
      <c r="F109" s="11"/>
      <c r="G109" s="27"/>
      <c r="H109" s="28" t="str">
        <f aca="false">IF(OR(F109="",G109=""),"",EDATE(F109,G109))</f>
        <v/>
      </c>
      <c r="I109" s="18" t="str">
        <f aca="false">IF(A109="","",IF(D109="No","Not required",IF(H109="","Not trained",IF(H109&lt;Dashboard!$C$5,"Expired",IF(H109-Dashboard!$C$5&lt;=Lists!$R$6,"Expiring","Current")))))</f>
        <v/>
      </c>
      <c r="J109" s="24"/>
      <c r="K109" s="10"/>
    </row>
    <row r="110" customFormat="false" ht="15" hidden="false" customHeight="false" outlineLevel="0" collapsed="false">
      <c r="A110" s="10"/>
      <c r="B110" s="10"/>
      <c r="C110" s="10"/>
      <c r="D110" s="24"/>
      <c r="E110" s="10"/>
      <c r="F110" s="11"/>
      <c r="G110" s="27"/>
      <c r="H110" s="28" t="str">
        <f aca="false">IF(OR(F110="",G110=""),"",EDATE(F110,G110))</f>
        <v/>
      </c>
      <c r="I110" s="18" t="str">
        <f aca="false">IF(A110="","",IF(D110="No","Not required",IF(H110="","Not trained",IF(H110&lt;Dashboard!$C$5,"Expired",IF(H110-Dashboard!$C$5&lt;=Lists!$R$6,"Expiring","Current")))))</f>
        <v/>
      </c>
      <c r="J110" s="24"/>
      <c r="K110" s="10"/>
    </row>
    <row r="111" customFormat="false" ht="15" hidden="false" customHeight="false" outlineLevel="0" collapsed="false">
      <c r="A111" s="10"/>
      <c r="B111" s="10"/>
      <c r="C111" s="10"/>
      <c r="D111" s="24"/>
      <c r="E111" s="10"/>
      <c r="F111" s="11"/>
      <c r="G111" s="27"/>
      <c r="H111" s="28" t="str">
        <f aca="false">IF(OR(F111="",G111=""),"",EDATE(F111,G111))</f>
        <v/>
      </c>
      <c r="I111" s="18" t="str">
        <f aca="false">IF(A111="","",IF(D111="No","Not required",IF(H111="","Not trained",IF(H111&lt;Dashboard!$C$5,"Expired",IF(H111-Dashboard!$C$5&lt;=Lists!$R$6,"Expiring","Current")))))</f>
        <v/>
      </c>
      <c r="J111" s="24"/>
      <c r="K111" s="10"/>
    </row>
    <row r="112" customFormat="false" ht="15" hidden="false" customHeight="false" outlineLevel="0" collapsed="false">
      <c r="A112" s="10"/>
      <c r="B112" s="10"/>
      <c r="C112" s="10"/>
      <c r="D112" s="24"/>
      <c r="E112" s="10"/>
      <c r="F112" s="11"/>
      <c r="G112" s="27"/>
      <c r="H112" s="28" t="str">
        <f aca="false">IF(OR(F112="",G112=""),"",EDATE(F112,G112))</f>
        <v/>
      </c>
      <c r="I112" s="18" t="str">
        <f aca="false">IF(A112="","",IF(D112="No","Not required",IF(H112="","Not trained",IF(H112&lt;Dashboard!$C$5,"Expired",IF(H112-Dashboard!$C$5&lt;=Lists!$R$6,"Expiring","Current")))))</f>
        <v/>
      </c>
      <c r="J112" s="24"/>
      <c r="K112" s="10"/>
    </row>
    <row r="113" customFormat="false" ht="15" hidden="false" customHeight="false" outlineLevel="0" collapsed="false">
      <c r="A113" s="10"/>
      <c r="B113" s="10"/>
      <c r="C113" s="10"/>
      <c r="D113" s="24"/>
      <c r="E113" s="10"/>
      <c r="F113" s="11"/>
      <c r="G113" s="27"/>
      <c r="H113" s="28" t="str">
        <f aca="false">IF(OR(F113="",G113=""),"",EDATE(F113,G113))</f>
        <v/>
      </c>
      <c r="I113" s="18" t="str">
        <f aca="false">IF(A113="","",IF(D113="No","Not required",IF(H113="","Not trained",IF(H113&lt;Dashboard!$C$5,"Expired",IF(H113-Dashboard!$C$5&lt;=Lists!$R$6,"Expiring","Current")))))</f>
        <v/>
      </c>
      <c r="J113" s="24"/>
      <c r="K113" s="10"/>
    </row>
    <row r="114" customFormat="false" ht="15" hidden="false" customHeight="false" outlineLevel="0" collapsed="false">
      <c r="A114" s="10"/>
      <c r="B114" s="10"/>
      <c r="C114" s="10"/>
      <c r="D114" s="24"/>
      <c r="E114" s="10"/>
      <c r="F114" s="11"/>
      <c r="G114" s="27"/>
      <c r="H114" s="28" t="str">
        <f aca="false">IF(OR(F114="",G114=""),"",EDATE(F114,G114))</f>
        <v/>
      </c>
      <c r="I114" s="18" t="str">
        <f aca="false">IF(A114="","",IF(D114="No","Not required",IF(H114="","Not trained",IF(H114&lt;Dashboard!$C$5,"Expired",IF(H114-Dashboard!$C$5&lt;=Lists!$R$6,"Expiring","Current")))))</f>
        <v/>
      </c>
      <c r="J114" s="24"/>
      <c r="K114" s="10"/>
    </row>
    <row r="115" customFormat="false" ht="15" hidden="false" customHeight="false" outlineLevel="0" collapsed="false">
      <c r="A115" s="10"/>
      <c r="B115" s="10"/>
      <c r="C115" s="10"/>
      <c r="D115" s="24"/>
      <c r="E115" s="10"/>
      <c r="F115" s="11"/>
      <c r="G115" s="27"/>
      <c r="H115" s="28" t="str">
        <f aca="false">IF(OR(F115="",G115=""),"",EDATE(F115,G115))</f>
        <v/>
      </c>
      <c r="I115" s="18" t="str">
        <f aca="false">IF(A115="","",IF(D115="No","Not required",IF(H115="","Not trained",IF(H115&lt;Dashboard!$C$5,"Expired",IF(H115-Dashboard!$C$5&lt;=Lists!$R$6,"Expiring","Current")))))</f>
        <v/>
      </c>
      <c r="J115" s="24"/>
      <c r="K115" s="10"/>
    </row>
    <row r="116" customFormat="false" ht="15" hidden="false" customHeight="false" outlineLevel="0" collapsed="false">
      <c r="A116" s="10"/>
      <c r="B116" s="10"/>
      <c r="C116" s="10"/>
      <c r="D116" s="24"/>
      <c r="E116" s="10"/>
      <c r="F116" s="11"/>
      <c r="G116" s="27"/>
      <c r="H116" s="28" t="str">
        <f aca="false">IF(OR(F116="",G116=""),"",EDATE(F116,G116))</f>
        <v/>
      </c>
      <c r="I116" s="18" t="str">
        <f aca="false">IF(A116="","",IF(D116="No","Not required",IF(H116="","Not trained",IF(H116&lt;Dashboard!$C$5,"Expired",IF(H116-Dashboard!$C$5&lt;=Lists!$R$6,"Expiring","Current")))))</f>
        <v/>
      </c>
      <c r="J116" s="24"/>
      <c r="K116" s="10"/>
    </row>
    <row r="117" customFormat="false" ht="15" hidden="false" customHeight="false" outlineLevel="0" collapsed="false">
      <c r="A117" s="10"/>
      <c r="B117" s="10"/>
      <c r="C117" s="10"/>
      <c r="D117" s="24"/>
      <c r="E117" s="10"/>
      <c r="F117" s="11"/>
      <c r="G117" s="27"/>
      <c r="H117" s="28" t="str">
        <f aca="false">IF(OR(F117="",G117=""),"",EDATE(F117,G117))</f>
        <v/>
      </c>
      <c r="I117" s="18" t="str">
        <f aca="false">IF(A117="","",IF(D117="No","Not required",IF(H117="","Not trained",IF(H117&lt;Dashboard!$C$5,"Expired",IF(H117-Dashboard!$C$5&lt;=Lists!$R$6,"Expiring","Current")))))</f>
        <v/>
      </c>
      <c r="J117" s="24"/>
      <c r="K117" s="10"/>
    </row>
    <row r="118" customFormat="false" ht="15" hidden="false" customHeight="false" outlineLevel="0" collapsed="false">
      <c r="A118" s="10"/>
      <c r="B118" s="10"/>
      <c r="C118" s="10"/>
      <c r="D118" s="24"/>
      <c r="E118" s="10"/>
      <c r="F118" s="11"/>
      <c r="G118" s="27"/>
      <c r="H118" s="28" t="str">
        <f aca="false">IF(OR(F118="",G118=""),"",EDATE(F118,G118))</f>
        <v/>
      </c>
      <c r="I118" s="18" t="str">
        <f aca="false">IF(A118="","",IF(D118="No","Not required",IF(H118="","Not trained",IF(H118&lt;Dashboard!$C$5,"Expired",IF(H118-Dashboard!$C$5&lt;=Lists!$R$6,"Expiring","Current")))))</f>
        <v/>
      </c>
      <c r="J118" s="24"/>
      <c r="K118" s="10"/>
    </row>
    <row r="119" customFormat="false" ht="15" hidden="false" customHeight="false" outlineLevel="0" collapsed="false">
      <c r="A119" s="10"/>
      <c r="B119" s="10"/>
      <c r="C119" s="10"/>
      <c r="D119" s="24"/>
      <c r="E119" s="10"/>
      <c r="F119" s="11"/>
      <c r="G119" s="27"/>
      <c r="H119" s="28" t="str">
        <f aca="false">IF(OR(F119="",G119=""),"",EDATE(F119,G119))</f>
        <v/>
      </c>
      <c r="I119" s="18" t="str">
        <f aca="false">IF(A119="","",IF(D119="No","Not required",IF(H119="","Not trained",IF(H119&lt;Dashboard!$C$5,"Expired",IF(H119-Dashboard!$C$5&lt;=Lists!$R$6,"Expiring","Current")))))</f>
        <v/>
      </c>
      <c r="J119" s="24"/>
      <c r="K119" s="10"/>
    </row>
    <row r="120" customFormat="false" ht="15" hidden="false" customHeight="false" outlineLevel="0" collapsed="false">
      <c r="A120" s="10"/>
      <c r="B120" s="10"/>
      <c r="C120" s="10"/>
      <c r="D120" s="24"/>
      <c r="E120" s="10"/>
      <c r="F120" s="11"/>
      <c r="G120" s="27"/>
      <c r="H120" s="28" t="str">
        <f aca="false">IF(OR(F120="",G120=""),"",EDATE(F120,G120))</f>
        <v/>
      </c>
      <c r="I120" s="18" t="str">
        <f aca="false">IF(A120="","",IF(D120="No","Not required",IF(H120="","Not trained",IF(H120&lt;Dashboard!$C$5,"Expired",IF(H120-Dashboard!$C$5&lt;=Lists!$R$6,"Expiring","Current")))))</f>
        <v/>
      </c>
      <c r="J120" s="24"/>
      <c r="K120" s="10"/>
    </row>
    <row r="121" customFormat="false" ht="15" hidden="false" customHeight="false" outlineLevel="0" collapsed="false">
      <c r="A121" s="10"/>
      <c r="B121" s="10"/>
      <c r="C121" s="10"/>
      <c r="D121" s="24"/>
      <c r="E121" s="10"/>
      <c r="F121" s="11"/>
      <c r="G121" s="27"/>
      <c r="H121" s="28" t="str">
        <f aca="false">IF(OR(F121="",G121=""),"",EDATE(F121,G121))</f>
        <v/>
      </c>
      <c r="I121" s="18" t="str">
        <f aca="false">IF(A121="","",IF(D121="No","Not required",IF(H121="","Not trained",IF(H121&lt;Dashboard!$C$5,"Expired",IF(H121-Dashboard!$C$5&lt;=Lists!$R$6,"Expiring","Current")))))</f>
        <v/>
      </c>
      <c r="J121" s="24"/>
      <c r="K121" s="10"/>
    </row>
    <row r="122" customFormat="false" ht="15" hidden="false" customHeight="false" outlineLevel="0" collapsed="false">
      <c r="A122" s="10"/>
      <c r="B122" s="10"/>
      <c r="C122" s="10"/>
      <c r="D122" s="24"/>
      <c r="E122" s="10"/>
      <c r="F122" s="11"/>
      <c r="G122" s="27"/>
      <c r="H122" s="28" t="str">
        <f aca="false">IF(OR(F122="",G122=""),"",EDATE(F122,G122))</f>
        <v/>
      </c>
      <c r="I122" s="18" t="str">
        <f aca="false">IF(A122="","",IF(D122="No","Not required",IF(H122="","Not trained",IF(H122&lt;Dashboard!$C$5,"Expired",IF(H122-Dashboard!$C$5&lt;=Lists!$R$6,"Expiring","Current")))))</f>
        <v/>
      </c>
      <c r="J122" s="24"/>
      <c r="K122" s="10"/>
    </row>
    <row r="123" customFormat="false" ht="15" hidden="false" customHeight="false" outlineLevel="0" collapsed="false">
      <c r="A123" s="10"/>
      <c r="B123" s="10"/>
      <c r="C123" s="10"/>
      <c r="D123" s="24"/>
      <c r="E123" s="10"/>
      <c r="F123" s="11"/>
      <c r="G123" s="27"/>
      <c r="H123" s="28" t="str">
        <f aca="false">IF(OR(F123="",G123=""),"",EDATE(F123,G123))</f>
        <v/>
      </c>
      <c r="I123" s="18" t="str">
        <f aca="false">IF(A123="","",IF(D123="No","Not required",IF(H123="","Not trained",IF(H123&lt;Dashboard!$C$5,"Expired",IF(H123-Dashboard!$C$5&lt;=Lists!$R$6,"Expiring","Current")))))</f>
        <v/>
      </c>
      <c r="J123" s="24"/>
      <c r="K123" s="10"/>
    </row>
    <row r="124" customFormat="false" ht="15" hidden="false" customHeight="false" outlineLevel="0" collapsed="false">
      <c r="A124" s="10"/>
      <c r="B124" s="10"/>
      <c r="C124" s="10"/>
      <c r="D124" s="24"/>
      <c r="E124" s="10"/>
      <c r="F124" s="11"/>
      <c r="G124" s="27"/>
      <c r="H124" s="28" t="str">
        <f aca="false">IF(OR(F124="",G124=""),"",EDATE(F124,G124))</f>
        <v/>
      </c>
      <c r="I124" s="18" t="str">
        <f aca="false">IF(A124="","",IF(D124="No","Not required",IF(H124="","Not trained",IF(H124&lt;Dashboard!$C$5,"Expired",IF(H124-Dashboard!$C$5&lt;=Lists!$R$6,"Expiring","Current")))))</f>
        <v/>
      </c>
      <c r="J124" s="24"/>
      <c r="K124" s="10"/>
    </row>
    <row r="125" customFormat="false" ht="15" hidden="false" customHeight="false" outlineLevel="0" collapsed="false">
      <c r="A125" s="10"/>
      <c r="B125" s="10"/>
      <c r="C125" s="10"/>
      <c r="D125" s="24"/>
      <c r="E125" s="10"/>
      <c r="F125" s="11"/>
      <c r="G125" s="27"/>
      <c r="H125" s="28" t="str">
        <f aca="false">IF(OR(F125="",G125=""),"",EDATE(F125,G125))</f>
        <v/>
      </c>
      <c r="I125" s="18" t="str">
        <f aca="false">IF(A125="","",IF(D125="No","Not required",IF(H125="","Not trained",IF(H125&lt;Dashboard!$C$5,"Expired",IF(H125-Dashboard!$C$5&lt;=Lists!$R$6,"Expiring","Current")))))</f>
        <v/>
      </c>
      <c r="J125" s="24"/>
      <c r="K125" s="10"/>
    </row>
    <row r="126" customFormat="false" ht="15" hidden="false" customHeight="false" outlineLevel="0" collapsed="false">
      <c r="A126" s="10"/>
      <c r="B126" s="10"/>
      <c r="C126" s="10"/>
      <c r="D126" s="24"/>
      <c r="E126" s="10"/>
      <c r="F126" s="11"/>
      <c r="G126" s="27"/>
      <c r="H126" s="28" t="str">
        <f aca="false">IF(OR(F126="",G126=""),"",EDATE(F126,G126))</f>
        <v/>
      </c>
      <c r="I126" s="18" t="str">
        <f aca="false">IF(A126="","",IF(D126="No","Not required",IF(H126="","Not trained",IF(H126&lt;Dashboard!$C$5,"Expired",IF(H126-Dashboard!$C$5&lt;=Lists!$R$6,"Expiring","Current")))))</f>
        <v/>
      </c>
      <c r="J126" s="24"/>
      <c r="K126" s="10"/>
    </row>
    <row r="127" customFormat="false" ht="15" hidden="false" customHeight="false" outlineLevel="0" collapsed="false">
      <c r="A127" s="10"/>
      <c r="B127" s="10"/>
      <c r="C127" s="10"/>
      <c r="D127" s="24"/>
      <c r="E127" s="10"/>
      <c r="F127" s="11"/>
      <c r="G127" s="27"/>
      <c r="H127" s="28" t="str">
        <f aca="false">IF(OR(F127="",G127=""),"",EDATE(F127,G127))</f>
        <v/>
      </c>
      <c r="I127" s="18" t="str">
        <f aca="false">IF(A127="","",IF(D127="No","Not required",IF(H127="","Not trained",IF(H127&lt;Dashboard!$C$5,"Expired",IF(H127-Dashboard!$C$5&lt;=Lists!$R$6,"Expiring","Current")))))</f>
        <v/>
      </c>
      <c r="J127" s="24"/>
      <c r="K127" s="10"/>
    </row>
    <row r="128" customFormat="false" ht="15" hidden="false" customHeight="false" outlineLevel="0" collapsed="false">
      <c r="A128" s="10"/>
      <c r="B128" s="10"/>
      <c r="C128" s="10"/>
      <c r="D128" s="24"/>
      <c r="E128" s="10"/>
      <c r="F128" s="11"/>
      <c r="G128" s="27"/>
      <c r="H128" s="28" t="str">
        <f aca="false">IF(OR(F128="",G128=""),"",EDATE(F128,G128))</f>
        <v/>
      </c>
      <c r="I128" s="18" t="str">
        <f aca="false">IF(A128="","",IF(D128="No","Not required",IF(H128="","Not trained",IF(H128&lt;Dashboard!$C$5,"Expired",IF(H128-Dashboard!$C$5&lt;=Lists!$R$6,"Expiring","Current")))))</f>
        <v/>
      </c>
      <c r="J128" s="24"/>
      <c r="K128" s="10"/>
    </row>
    <row r="129" customFormat="false" ht="15" hidden="false" customHeight="false" outlineLevel="0" collapsed="false">
      <c r="A129" s="10"/>
      <c r="B129" s="10"/>
      <c r="C129" s="10"/>
      <c r="D129" s="24"/>
      <c r="E129" s="10"/>
      <c r="F129" s="11"/>
      <c r="G129" s="27"/>
      <c r="H129" s="28" t="str">
        <f aca="false">IF(OR(F129="",G129=""),"",EDATE(F129,G129))</f>
        <v/>
      </c>
      <c r="I129" s="18" t="str">
        <f aca="false">IF(A129="","",IF(D129="No","Not required",IF(H129="","Not trained",IF(H129&lt;Dashboard!$C$5,"Expired",IF(H129-Dashboard!$C$5&lt;=Lists!$R$6,"Expiring","Current")))))</f>
        <v/>
      </c>
      <c r="J129" s="24"/>
      <c r="K129" s="10"/>
    </row>
    <row r="130" customFormat="false" ht="15" hidden="false" customHeight="false" outlineLevel="0" collapsed="false">
      <c r="A130" s="10"/>
      <c r="B130" s="10"/>
      <c r="C130" s="10"/>
      <c r="D130" s="24"/>
      <c r="E130" s="10"/>
      <c r="F130" s="11"/>
      <c r="G130" s="27"/>
      <c r="H130" s="28" t="str">
        <f aca="false">IF(OR(F130="",G130=""),"",EDATE(F130,G130))</f>
        <v/>
      </c>
      <c r="I130" s="18" t="str">
        <f aca="false">IF(A130="","",IF(D130="No","Not required",IF(H130="","Not trained",IF(H130&lt;Dashboard!$C$5,"Expired",IF(H130-Dashboard!$C$5&lt;=Lists!$R$6,"Expiring","Current")))))</f>
        <v/>
      </c>
      <c r="J130" s="24"/>
      <c r="K130" s="10"/>
    </row>
    <row r="131" customFormat="false" ht="15" hidden="false" customHeight="false" outlineLevel="0" collapsed="false">
      <c r="A131" s="10"/>
      <c r="B131" s="10"/>
      <c r="C131" s="10"/>
      <c r="D131" s="24"/>
      <c r="E131" s="10"/>
      <c r="F131" s="11"/>
      <c r="G131" s="27"/>
      <c r="H131" s="28" t="str">
        <f aca="false">IF(OR(F131="",G131=""),"",EDATE(F131,G131))</f>
        <v/>
      </c>
      <c r="I131" s="18" t="str">
        <f aca="false">IF(A131="","",IF(D131="No","Not required",IF(H131="","Not trained",IF(H131&lt;Dashboard!$C$5,"Expired",IF(H131-Dashboard!$C$5&lt;=Lists!$R$6,"Expiring","Current")))))</f>
        <v/>
      </c>
      <c r="J131" s="24"/>
      <c r="K131" s="10"/>
    </row>
    <row r="132" customFormat="false" ht="15" hidden="false" customHeight="false" outlineLevel="0" collapsed="false">
      <c r="A132" s="10"/>
      <c r="B132" s="10"/>
      <c r="C132" s="10"/>
      <c r="D132" s="24"/>
      <c r="E132" s="10"/>
      <c r="F132" s="11"/>
      <c r="G132" s="27"/>
      <c r="H132" s="28" t="str">
        <f aca="false">IF(OR(F132="",G132=""),"",EDATE(F132,G132))</f>
        <v/>
      </c>
      <c r="I132" s="18" t="str">
        <f aca="false">IF(A132="","",IF(D132="No","Not required",IF(H132="","Not trained",IF(H132&lt;Dashboard!$C$5,"Expired",IF(H132-Dashboard!$C$5&lt;=Lists!$R$6,"Expiring","Current")))))</f>
        <v/>
      </c>
      <c r="J132" s="24"/>
      <c r="K132" s="10"/>
    </row>
    <row r="133" customFormat="false" ht="15" hidden="false" customHeight="false" outlineLevel="0" collapsed="false">
      <c r="A133" s="10"/>
      <c r="B133" s="10"/>
      <c r="C133" s="10"/>
      <c r="D133" s="24"/>
      <c r="E133" s="10"/>
      <c r="F133" s="11"/>
      <c r="G133" s="27"/>
      <c r="H133" s="28" t="str">
        <f aca="false">IF(OR(F133="",G133=""),"",EDATE(F133,G133))</f>
        <v/>
      </c>
      <c r="I133" s="18" t="str">
        <f aca="false">IF(A133="","",IF(D133="No","Not required",IF(H133="","Not trained",IF(H133&lt;Dashboard!$C$5,"Expired",IF(H133-Dashboard!$C$5&lt;=Lists!$R$6,"Expiring","Current")))))</f>
        <v/>
      </c>
      <c r="J133" s="24"/>
      <c r="K133" s="10"/>
    </row>
    <row r="134" customFormat="false" ht="15" hidden="false" customHeight="false" outlineLevel="0" collapsed="false">
      <c r="A134" s="10"/>
      <c r="B134" s="10"/>
      <c r="C134" s="10"/>
      <c r="D134" s="24"/>
      <c r="E134" s="10"/>
      <c r="F134" s="11"/>
      <c r="G134" s="27"/>
      <c r="H134" s="28" t="str">
        <f aca="false">IF(OR(F134="",G134=""),"",EDATE(F134,G134))</f>
        <v/>
      </c>
      <c r="I134" s="18" t="str">
        <f aca="false">IF(A134="","",IF(D134="No","Not required",IF(H134="","Not trained",IF(H134&lt;Dashboard!$C$5,"Expired",IF(H134-Dashboard!$C$5&lt;=Lists!$R$6,"Expiring","Current")))))</f>
        <v/>
      </c>
      <c r="J134" s="24"/>
      <c r="K134" s="10"/>
    </row>
    <row r="135" customFormat="false" ht="15" hidden="false" customHeight="false" outlineLevel="0" collapsed="false">
      <c r="A135" s="10"/>
      <c r="B135" s="10"/>
      <c r="C135" s="10"/>
      <c r="D135" s="24"/>
      <c r="E135" s="10"/>
      <c r="F135" s="11"/>
      <c r="G135" s="27"/>
      <c r="H135" s="28" t="str">
        <f aca="false">IF(OR(F135="",G135=""),"",EDATE(F135,G135))</f>
        <v/>
      </c>
      <c r="I135" s="18" t="str">
        <f aca="false">IF(A135="","",IF(D135="No","Not required",IF(H135="","Not trained",IF(H135&lt;Dashboard!$C$5,"Expired",IF(H135-Dashboard!$C$5&lt;=Lists!$R$6,"Expiring","Current")))))</f>
        <v/>
      </c>
      <c r="J135" s="24"/>
      <c r="K135" s="10"/>
    </row>
    <row r="136" customFormat="false" ht="15" hidden="false" customHeight="false" outlineLevel="0" collapsed="false">
      <c r="A136" s="10"/>
      <c r="B136" s="10"/>
      <c r="C136" s="10"/>
      <c r="D136" s="24"/>
      <c r="E136" s="10"/>
      <c r="F136" s="11"/>
      <c r="G136" s="27"/>
      <c r="H136" s="28" t="str">
        <f aca="false">IF(OR(F136="",G136=""),"",EDATE(F136,G136))</f>
        <v/>
      </c>
      <c r="I136" s="18" t="str">
        <f aca="false">IF(A136="","",IF(D136="No","Not required",IF(H136="","Not trained",IF(H136&lt;Dashboard!$C$5,"Expired",IF(H136-Dashboard!$C$5&lt;=Lists!$R$6,"Expiring","Current")))))</f>
        <v/>
      </c>
      <c r="J136" s="24"/>
      <c r="K136" s="10"/>
    </row>
    <row r="137" customFormat="false" ht="15" hidden="false" customHeight="false" outlineLevel="0" collapsed="false">
      <c r="A137" s="10"/>
      <c r="B137" s="10"/>
      <c r="C137" s="10"/>
      <c r="D137" s="24"/>
      <c r="E137" s="10"/>
      <c r="F137" s="11"/>
      <c r="G137" s="27"/>
      <c r="H137" s="28" t="str">
        <f aca="false">IF(OR(F137="",G137=""),"",EDATE(F137,G137))</f>
        <v/>
      </c>
      <c r="I137" s="18" t="str">
        <f aca="false">IF(A137="","",IF(D137="No","Not required",IF(H137="","Not trained",IF(H137&lt;Dashboard!$C$5,"Expired",IF(H137-Dashboard!$C$5&lt;=Lists!$R$6,"Expiring","Current")))))</f>
        <v/>
      </c>
      <c r="J137" s="24"/>
      <c r="K137" s="10"/>
    </row>
    <row r="138" customFormat="false" ht="15" hidden="false" customHeight="false" outlineLevel="0" collapsed="false">
      <c r="A138" s="10"/>
      <c r="B138" s="10"/>
      <c r="C138" s="10"/>
      <c r="D138" s="24"/>
      <c r="E138" s="10"/>
      <c r="F138" s="11"/>
      <c r="G138" s="27"/>
      <c r="H138" s="28" t="str">
        <f aca="false">IF(OR(F138="",G138=""),"",EDATE(F138,G138))</f>
        <v/>
      </c>
      <c r="I138" s="18" t="str">
        <f aca="false">IF(A138="","",IF(D138="No","Not required",IF(H138="","Not trained",IF(H138&lt;Dashboard!$C$5,"Expired",IF(H138-Dashboard!$C$5&lt;=Lists!$R$6,"Expiring","Current")))))</f>
        <v/>
      </c>
      <c r="J138" s="24"/>
      <c r="K138" s="10"/>
    </row>
    <row r="139" customFormat="false" ht="15" hidden="false" customHeight="false" outlineLevel="0" collapsed="false">
      <c r="A139" s="10"/>
      <c r="B139" s="10"/>
      <c r="C139" s="10"/>
      <c r="D139" s="24"/>
      <c r="E139" s="10"/>
      <c r="F139" s="11"/>
      <c r="G139" s="27"/>
      <c r="H139" s="28" t="str">
        <f aca="false">IF(OR(F139="",G139=""),"",EDATE(F139,G139))</f>
        <v/>
      </c>
      <c r="I139" s="18" t="str">
        <f aca="false">IF(A139="","",IF(D139="No","Not required",IF(H139="","Not trained",IF(H139&lt;Dashboard!$C$5,"Expired",IF(H139-Dashboard!$C$5&lt;=Lists!$R$6,"Expiring","Current")))))</f>
        <v/>
      </c>
      <c r="J139" s="24"/>
      <c r="K139" s="10"/>
    </row>
    <row r="140" customFormat="false" ht="15" hidden="false" customHeight="false" outlineLevel="0" collapsed="false">
      <c r="A140" s="10"/>
      <c r="B140" s="10"/>
      <c r="C140" s="10"/>
      <c r="D140" s="24"/>
      <c r="E140" s="10"/>
      <c r="F140" s="11"/>
      <c r="G140" s="27"/>
      <c r="H140" s="28" t="str">
        <f aca="false">IF(OR(F140="",G140=""),"",EDATE(F140,G140))</f>
        <v/>
      </c>
      <c r="I140" s="18" t="str">
        <f aca="false">IF(A140="","",IF(D140="No","Not required",IF(H140="","Not trained",IF(H140&lt;Dashboard!$C$5,"Expired",IF(H140-Dashboard!$C$5&lt;=Lists!$R$6,"Expiring","Current")))))</f>
        <v/>
      </c>
      <c r="J140" s="24"/>
      <c r="K140" s="10"/>
    </row>
    <row r="141" customFormat="false" ht="15" hidden="false" customHeight="false" outlineLevel="0" collapsed="false">
      <c r="A141" s="10"/>
      <c r="B141" s="10"/>
      <c r="C141" s="10"/>
      <c r="D141" s="24"/>
      <c r="E141" s="10"/>
      <c r="F141" s="11"/>
      <c r="G141" s="27"/>
      <c r="H141" s="28" t="str">
        <f aca="false">IF(OR(F141="",G141=""),"",EDATE(F141,G141))</f>
        <v/>
      </c>
      <c r="I141" s="18" t="str">
        <f aca="false">IF(A141="","",IF(D141="No","Not required",IF(H141="","Not trained",IF(H141&lt;Dashboard!$C$5,"Expired",IF(H141-Dashboard!$C$5&lt;=Lists!$R$6,"Expiring","Current")))))</f>
        <v/>
      </c>
      <c r="J141" s="24"/>
      <c r="K141" s="10"/>
    </row>
    <row r="142" customFormat="false" ht="15" hidden="false" customHeight="false" outlineLevel="0" collapsed="false">
      <c r="A142" s="10"/>
      <c r="B142" s="10"/>
      <c r="C142" s="10"/>
      <c r="D142" s="24"/>
      <c r="E142" s="10"/>
      <c r="F142" s="11"/>
      <c r="G142" s="27"/>
      <c r="H142" s="28" t="str">
        <f aca="false">IF(OR(F142="",G142=""),"",EDATE(F142,G142))</f>
        <v/>
      </c>
      <c r="I142" s="18" t="str">
        <f aca="false">IF(A142="","",IF(D142="No","Not required",IF(H142="","Not trained",IF(H142&lt;Dashboard!$C$5,"Expired",IF(H142-Dashboard!$C$5&lt;=Lists!$R$6,"Expiring","Current")))))</f>
        <v/>
      </c>
      <c r="J142" s="24"/>
      <c r="K142" s="10"/>
    </row>
    <row r="143" customFormat="false" ht="15" hidden="false" customHeight="false" outlineLevel="0" collapsed="false">
      <c r="A143" s="10"/>
      <c r="B143" s="10"/>
      <c r="C143" s="10"/>
      <c r="D143" s="24"/>
      <c r="E143" s="10"/>
      <c r="F143" s="11"/>
      <c r="G143" s="27"/>
      <c r="H143" s="28" t="str">
        <f aca="false">IF(OR(F143="",G143=""),"",EDATE(F143,G143))</f>
        <v/>
      </c>
      <c r="I143" s="18" t="str">
        <f aca="false">IF(A143="","",IF(D143="No","Not required",IF(H143="","Not trained",IF(H143&lt;Dashboard!$C$5,"Expired",IF(H143-Dashboard!$C$5&lt;=Lists!$R$6,"Expiring","Current")))))</f>
        <v/>
      </c>
      <c r="J143" s="24"/>
      <c r="K143" s="10"/>
    </row>
    <row r="144" customFormat="false" ht="15" hidden="false" customHeight="false" outlineLevel="0" collapsed="false">
      <c r="A144" s="10"/>
      <c r="B144" s="10"/>
      <c r="C144" s="10"/>
      <c r="D144" s="24"/>
      <c r="E144" s="10"/>
      <c r="F144" s="11"/>
      <c r="G144" s="27"/>
      <c r="H144" s="28" t="str">
        <f aca="false">IF(OR(F144="",G144=""),"",EDATE(F144,G144))</f>
        <v/>
      </c>
      <c r="I144" s="18" t="str">
        <f aca="false">IF(A144="","",IF(D144="No","Not required",IF(H144="","Not trained",IF(H144&lt;Dashboard!$C$5,"Expired",IF(H144-Dashboard!$C$5&lt;=Lists!$R$6,"Expiring","Current")))))</f>
        <v/>
      </c>
      <c r="J144" s="24"/>
      <c r="K144" s="10"/>
    </row>
    <row r="145" customFormat="false" ht="15" hidden="false" customHeight="false" outlineLevel="0" collapsed="false">
      <c r="A145" s="10"/>
      <c r="B145" s="10"/>
      <c r="C145" s="10"/>
      <c r="D145" s="24"/>
      <c r="E145" s="10"/>
      <c r="F145" s="11"/>
      <c r="G145" s="27"/>
      <c r="H145" s="28" t="str">
        <f aca="false">IF(OR(F145="",G145=""),"",EDATE(F145,G145))</f>
        <v/>
      </c>
      <c r="I145" s="18" t="str">
        <f aca="false">IF(A145="","",IF(D145="No","Not required",IF(H145="","Not trained",IF(H145&lt;Dashboard!$C$5,"Expired",IF(H145-Dashboard!$C$5&lt;=Lists!$R$6,"Expiring","Current")))))</f>
        <v/>
      </c>
      <c r="J145" s="24"/>
      <c r="K145" s="10"/>
    </row>
    <row r="146" customFormat="false" ht="15" hidden="false" customHeight="false" outlineLevel="0" collapsed="false">
      <c r="A146" s="10"/>
      <c r="B146" s="10"/>
      <c r="C146" s="10"/>
      <c r="D146" s="24"/>
      <c r="E146" s="10"/>
      <c r="F146" s="11"/>
      <c r="G146" s="27"/>
      <c r="H146" s="28" t="str">
        <f aca="false">IF(OR(F146="",G146=""),"",EDATE(F146,G146))</f>
        <v/>
      </c>
      <c r="I146" s="18" t="str">
        <f aca="false">IF(A146="","",IF(D146="No","Not required",IF(H146="","Not trained",IF(H146&lt;Dashboard!$C$5,"Expired",IF(H146-Dashboard!$C$5&lt;=Lists!$R$6,"Expiring","Current")))))</f>
        <v/>
      </c>
      <c r="J146" s="24"/>
      <c r="K146" s="10"/>
    </row>
    <row r="147" customFormat="false" ht="15" hidden="false" customHeight="false" outlineLevel="0" collapsed="false">
      <c r="A147" s="10"/>
      <c r="B147" s="10"/>
      <c r="C147" s="10"/>
      <c r="D147" s="24"/>
      <c r="E147" s="10"/>
      <c r="F147" s="11"/>
      <c r="G147" s="27"/>
      <c r="H147" s="28" t="str">
        <f aca="false">IF(OR(F147="",G147=""),"",EDATE(F147,G147))</f>
        <v/>
      </c>
      <c r="I147" s="18" t="str">
        <f aca="false">IF(A147="","",IF(D147="No","Not required",IF(H147="","Not trained",IF(H147&lt;Dashboard!$C$5,"Expired",IF(H147-Dashboard!$C$5&lt;=Lists!$R$6,"Expiring","Current")))))</f>
        <v/>
      </c>
      <c r="J147" s="24"/>
      <c r="K147" s="10"/>
    </row>
    <row r="148" customFormat="false" ht="15" hidden="false" customHeight="false" outlineLevel="0" collapsed="false">
      <c r="A148" s="10"/>
      <c r="B148" s="10"/>
      <c r="C148" s="10"/>
      <c r="D148" s="24"/>
      <c r="E148" s="10"/>
      <c r="F148" s="11"/>
      <c r="G148" s="27"/>
      <c r="H148" s="28" t="str">
        <f aca="false">IF(OR(F148="",G148=""),"",EDATE(F148,G148))</f>
        <v/>
      </c>
      <c r="I148" s="18" t="str">
        <f aca="false">IF(A148="","",IF(D148="No","Not required",IF(H148="","Not trained",IF(H148&lt;Dashboard!$C$5,"Expired",IF(H148-Dashboard!$C$5&lt;=Lists!$R$6,"Expiring","Current")))))</f>
        <v/>
      </c>
      <c r="J148" s="24"/>
      <c r="K148" s="10"/>
    </row>
    <row r="149" customFormat="false" ht="15" hidden="false" customHeight="false" outlineLevel="0" collapsed="false">
      <c r="A149" s="10"/>
      <c r="B149" s="10"/>
      <c r="C149" s="10"/>
      <c r="D149" s="24"/>
      <c r="E149" s="10"/>
      <c r="F149" s="11"/>
      <c r="G149" s="27"/>
      <c r="H149" s="28" t="str">
        <f aca="false">IF(OR(F149="",G149=""),"",EDATE(F149,G149))</f>
        <v/>
      </c>
      <c r="I149" s="18" t="str">
        <f aca="false">IF(A149="","",IF(D149="No","Not required",IF(H149="","Not trained",IF(H149&lt;Dashboard!$C$5,"Expired",IF(H149-Dashboard!$C$5&lt;=Lists!$R$6,"Expiring","Current")))))</f>
        <v/>
      </c>
      <c r="J149" s="24"/>
      <c r="K149" s="10"/>
    </row>
    <row r="150" customFormat="false" ht="15" hidden="false" customHeight="false" outlineLevel="0" collapsed="false">
      <c r="A150" s="10"/>
      <c r="B150" s="10"/>
      <c r="C150" s="10"/>
      <c r="D150" s="24"/>
      <c r="E150" s="10"/>
      <c r="F150" s="11"/>
      <c r="G150" s="27"/>
      <c r="H150" s="28" t="str">
        <f aca="false">IF(OR(F150="",G150=""),"",EDATE(F150,G150))</f>
        <v/>
      </c>
      <c r="I150" s="18" t="str">
        <f aca="false">IF(A150="","",IF(D150="No","Not required",IF(H150="","Not trained",IF(H150&lt;Dashboard!$C$5,"Expired",IF(H150-Dashboard!$C$5&lt;=Lists!$R$6,"Expiring","Current")))))</f>
        <v/>
      </c>
      <c r="J150" s="24"/>
      <c r="K150" s="10"/>
    </row>
    <row r="151" customFormat="false" ht="15" hidden="false" customHeight="false" outlineLevel="0" collapsed="false">
      <c r="A151" s="10"/>
      <c r="B151" s="10"/>
      <c r="C151" s="10"/>
      <c r="D151" s="24"/>
      <c r="E151" s="10"/>
      <c r="F151" s="11"/>
      <c r="G151" s="27"/>
      <c r="H151" s="28" t="str">
        <f aca="false">IF(OR(F151="",G151=""),"",EDATE(F151,G151))</f>
        <v/>
      </c>
      <c r="I151" s="18" t="str">
        <f aca="false">IF(A151="","",IF(D151="No","Not required",IF(H151="","Not trained",IF(H151&lt;Dashboard!$C$5,"Expired",IF(H151-Dashboard!$C$5&lt;=Lists!$R$6,"Expiring","Current")))))</f>
        <v/>
      </c>
      <c r="J151" s="24"/>
      <c r="K151" s="10"/>
    </row>
    <row r="152" customFormat="false" ht="15" hidden="false" customHeight="false" outlineLevel="0" collapsed="false">
      <c r="A152" s="10"/>
      <c r="B152" s="10"/>
      <c r="C152" s="10"/>
      <c r="D152" s="24"/>
      <c r="E152" s="10"/>
      <c r="F152" s="11"/>
      <c r="G152" s="27"/>
      <c r="H152" s="28" t="str">
        <f aca="false">IF(OR(F152="",G152=""),"",EDATE(F152,G152))</f>
        <v/>
      </c>
      <c r="I152" s="18" t="str">
        <f aca="false">IF(A152="","",IF(D152="No","Not required",IF(H152="","Not trained",IF(H152&lt;Dashboard!$C$5,"Expired",IF(H152-Dashboard!$C$5&lt;=Lists!$R$6,"Expiring","Current")))))</f>
        <v/>
      </c>
      <c r="J152" s="24"/>
      <c r="K152" s="10"/>
    </row>
    <row r="153" customFormat="false" ht="15" hidden="false" customHeight="false" outlineLevel="0" collapsed="false">
      <c r="A153" s="10"/>
      <c r="B153" s="10"/>
      <c r="C153" s="10"/>
      <c r="D153" s="24"/>
      <c r="E153" s="10"/>
      <c r="F153" s="11"/>
      <c r="G153" s="27"/>
      <c r="H153" s="28" t="str">
        <f aca="false">IF(OR(F153="",G153=""),"",EDATE(F153,G153))</f>
        <v/>
      </c>
      <c r="I153" s="18" t="str">
        <f aca="false">IF(A153="","",IF(D153="No","Not required",IF(H153="","Not trained",IF(H153&lt;Dashboard!$C$5,"Expired",IF(H153-Dashboard!$C$5&lt;=Lists!$R$6,"Expiring","Current")))))</f>
        <v/>
      </c>
      <c r="J153" s="24"/>
      <c r="K153" s="10"/>
    </row>
    <row r="154" customFormat="false" ht="15" hidden="false" customHeight="false" outlineLevel="0" collapsed="false">
      <c r="A154" s="10"/>
      <c r="B154" s="10"/>
      <c r="C154" s="10"/>
      <c r="D154" s="24"/>
      <c r="E154" s="10"/>
      <c r="F154" s="11"/>
      <c r="G154" s="27"/>
      <c r="H154" s="28" t="str">
        <f aca="false">IF(OR(F154="",G154=""),"",EDATE(F154,G154))</f>
        <v/>
      </c>
      <c r="I154" s="18" t="str">
        <f aca="false">IF(A154="","",IF(D154="No","Not required",IF(H154="","Not trained",IF(H154&lt;Dashboard!$C$5,"Expired",IF(H154-Dashboard!$C$5&lt;=Lists!$R$6,"Expiring","Current")))))</f>
        <v/>
      </c>
      <c r="J154" s="24"/>
      <c r="K154" s="10"/>
    </row>
    <row r="155" customFormat="false" ht="15" hidden="false" customHeight="false" outlineLevel="0" collapsed="false">
      <c r="A155" s="10"/>
      <c r="B155" s="10"/>
      <c r="C155" s="10"/>
      <c r="D155" s="24"/>
      <c r="E155" s="10"/>
      <c r="F155" s="11"/>
      <c r="G155" s="27"/>
      <c r="H155" s="28" t="str">
        <f aca="false">IF(OR(F155="",G155=""),"",EDATE(F155,G155))</f>
        <v/>
      </c>
      <c r="I155" s="18" t="str">
        <f aca="false">IF(A155="","",IF(D155="No","Not required",IF(H155="","Not trained",IF(H155&lt;Dashboard!$C$5,"Expired",IF(H155-Dashboard!$C$5&lt;=Lists!$R$6,"Expiring","Current")))))</f>
        <v/>
      </c>
      <c r="J155" s="24"/>
      <c r="K155" s="10"/>
    </row>
    <row r="156" customFormat="false" ht="15" hidden="false" customHeight="false" outlineLevel="0" collapsed="false">
      <c r="A156" s="10"/>
      <c r="B156" s="10"/>
      <c r="C156" s="10"/>
      <c r="D156" s="24"/>
      <c r="E156" s="10"/>
      <c r="F156" s="11"/>
      <c r="G156" s="27"/>
      <c r="H156" s="28" t="str">
        <f aca="false">IF(OR(F156="",G156=""),"",EDATE(F156,G156))</f>
        <v/>
      </c>
      <c r="I156" s="18" t="str">
        <f aca="false">IF(A156="","",IF(D156="No","Not required",IF(H156="","Not trained",IF(H156&lt;Dashboard!$C$5,"Expired",IF(H156-Dashboard!$C$5&lt;=Lists!$R$6,"Expiring","Current")))))</f>
        <v/>
      </c>
      <c r="J156" s="24"/>
      <c r="K156" s="10"/>
    </row>
    <row r="157" customFormat="false" ht="15" hidden="false" customHeight="false" outlineLevel="0" collapsed="false">
      <c r="A157" s="10"/>
      <c r="B157" s="10"/>
      <c r="C157" s="10"/>
      <c r="D157" s="24"/>
      <c r="E157" s="10"/>
      <c r="F157" s="11"/>
      <c r="G157" s="27"/>
      <c r="H157" s="28" t="str">
        <f aca="false">IF(OR(F157="",G157=""),"",EDATE(F157,G157))</f>
        <v/>
      </c>
      <c r="I157" s="18" t="str">
        <f aca="false">IF(A157="","",IF(D157="No","Not required",IF(H157="","Not trained",IF(H157&lt;Dashboard!$C$5,"Expired",IF(H157-Dashboard!$C$5&lt;=Lists!$R$6,"Expiring","Current")))))</f>
        <v/>
      </c>
      <c r="J157" s="24"/>
      <c r="K157" s="10"/>
    </row>
    <row r="158" customFormat="false" ht="15" hidden="false" customHeight="false" outlineLevel="0" collapsed="false">
      <c r="A158" s="10"/>
      <c r="B158" s="10"/>
      <c r="C158" s="10"/>
      <c r="D158" s="24"/>
      <c r="E158" s="10"/>
      <c r="F158" s="11"/>
      <c r="G158" s="27"/>
      <c r="H158" s="28" t="str">
        <f aca="false">IF(OR(F158="",G158=""),"",EDATE(F158,G158))</f>
        <v/>
      </c>
      <c r="I158" s="18" t="str">
        <f aca="false">IF(A158="","",IF(D158="No","Not required",IF(H158="","Not trained",IF(H158&lt;Dashboard!$C$5,"Expired",IF(H158-Dashboard!$C$5&lt;=Lists!$R$6,"Expiring","Current")))))</f>
        <v/>
      </c>
      <c r="J158" s="24"/>
      <c r="K158" s="10"/>
    </row>
    <row r="159" customFormat="false" ht="15" hidden="false" customHeight="false" outlineLevel="0" collapsed="false">
      <c r="A159" s="10"/>
      <c r="B159" s="10"/>
      <c r="C159" s="10"/>
      <c r="D159" s="24"/>
      <c r="E159" s="10"/>
      <c r="F159" s="11"/>
      <c r="G159" s="27"/>
      <c r="H159" s="28" t="str">
        <f aca="false">IF(OR(F159="",G159=""),"",EDATE(F159,G159))</f>
        <v/>
      </c>
      <c r="I159" s="18" t="str">
        <f aca="false">IF(A159="","",IF(D159="No","Not required",IF(H159="","Not trained",IF(H159&lt;Dashboard!$C$5,"Expired",IF(H159-Dashboard!$C$5&lt;=Lists!$R$6,"Expiring","Current")))))</f>
        <v/>
      </c>
      <c r="J159" s="24"/>
      <c r="K159" s="10"/>
    </row>
    <row r="160" customFormat="false" ht="15" hidden="false" customHeight="false" outlineLevel="0" collapsed="false">
      <c r="A160" s="10"/>
      <c r="B160" s="10"/>
      <c r="C160" s="10"/>
      <c r="D160" s="24"/>
      <c r="E160" s="10"/>
      <c r="F160" s="11"/>
      <c r="G160" s="27"/>
      <c r="H160" s="28" t="str">
        <f aca="false">IF(OR(F160="",G160=""),"",EDATE(F160,G160))</f>
        <v/>
      </c>
      <c r="I160" s="18" t="str">
        <f aca="false">IF(A160="","",IF(D160="No","Not required",IF(H160="","Not trained",IF(H160&lt;Dashboard!$C$5,"Expired",IF(H160-Dashboard!$C$5&lt;=Lists!$R$6,"Expiring","Current")))))</f>
        <v/>
      </c>
      <c r="J160" s="24"/>
      <c r="K160" s="10"/>
    </row>
    <row r="161" customFormat="false" ht="15" hidden="false" customHeight="false" outlineLevel="0" collapsed="false">
      <c r="A161" s="10"/>
      <c r="B161" s="10"/>
      <c r="C161" s="10"/>
      <c r="D161" s="24"/>
      <c r="E161" s="10"/>
      <c r="F161" s="11"/>
      <c r="G161" s="27"/>
      <c r="H161" s="28" t="str">
        <f aca="false">IF(OR(F161="",G161=""),"",EDATE(F161,G161))</f>
        <v/>
      </c>
      <c r="I161" s="18" t="str">
        <f aca="false">IF(A161="","",IF(D161="No","Not required",IF(H161="","Not trained",IF(H161&lt;Dashboard!$C$5,"Expired",IF(H161-Dashboard!$C$5&lt;=Lists!$R$6,"Expiring","Current")))))</f>
        <v/>
      </c>
      <c r="J161" s="24"/>
      <c r="K161" s="10"/>
    </row>
    <row r="162" customFormat="false" ht="15" hidden="false" customHeight="false" outlineLevel="0" collapsed="false">
      <c r="A162" s="10"/>
      <c r="B162" s="10"/>
      <c r="C162" s="10"/>
      <c r="D162" s="24"/>
      <c r="E162" s="10"/>
      <c r="F162" s="11"/>
      <c r="G162" s="27"/>
      <c r="H162" s="28" t="str">
        <f aca="false">IF(OR(F162="",G162=""),"",EDATE(F162,G162))</f>
        <v/>
      </c>
      <c r="I162" s="18" t="str">
        <f aca="false">IF(A162="","",IF(D162="No","Not required",IF(H162="","Not trained",IF(H162&lt;Dashboard!$C$5,"Expired",IF(H162-Dashboard!$C$5&lt;=Lists!$R$6,"Expiring","Current")))))</f>
        <v/>
      </c>
      <c r="J162" s="24"/>
      <c r="K162" s="10"/>
    </row>
    <row r="163" customFormat="false" ht="15" hidden="false" customHeight="false" outlineLevel="0" collapsed="false">
      <c r="A163" s="10"/>
      <c r="B163" s="10"/>
      <c r="C163" s="10"/>
      <c r="D163" s="24"/>
      <c r="E163" s="10"/>
      <c r="F163" s="11"/>
      <c r="G163" s="27"/>
      <c r="H163" s="28" t="str">
        <f aca="false">IF(OR(F163="",G163=""),"",EDATE(F163,G163))</f>
        <v/>
      </c>
      <c r="I163" s="18" t="str">
        <f aca="false">IF(A163="","",IF(D163="No","Not required",IF(H163="","Not trained",IF(H163&lt;Dashboard!$C$5,"Expired",IF(H163-Dashboard!$C$5&lt;=Lists!$R$6,"Expiring","Current")))))</f>
        <v/>
      </c>
      <c r="J163" s="24"/>
      <c r="K163" s="10"/>
    </row>
    <row r="164" customFormat="false" ht="15" hidden="false" customHeight="false" outlineLevel="0" collapsed="false">
      <c r="A164" s="10"/>
      <c r="B164" s="10"/>
      <c r="C164" s="10"/>
      <c r="D164" s="24"/>
      <c r="E164" s="10"/>
      <c r="F164" s="11"/>
      <c r="G164" s="27"/>
      <c r="H164" s="28" t="str">
        <f aca="false">IF(OR(F164="",G164=""),"",EDATE(F164,G164))</f>
        <v/>
      </c>
      <c r="I164" s="18" t="str">
        <f aca="false">IF(A164="","",IF(D164="No","Not required",IF(H164="","Not trained",IF(H164&lt;Dashboard!$C$5,"Expired",IF(H164-Dashboard!$C$5&lt;=Lists!$R$6,"Expiring","Current")))))</f>
        <v/>
      </c>
      <c r="J164" s="24"/>
      <c r="K164" s="10"/>
    </row>
    <row r="165" customFormat="false" ht="15" hidden="false" customHeight="false" outlineLevel="0" collapsed="false">
      <c r="A165" s="10"/>
      <c r="B165" s="10"/>
      <c r="C165" s="10"/>
      <c r="D165" s="24"/>
      <c r="E165" s="10"/>
      <c r="F165" s="11"/>
      <c r="G165" s="27"/>
      <c r="H165" s="28" t="str">
        <f aca="false">IF(OR(F165="",G165=""),"",EDATE(F165,G165))</f>
        <v/>
      </c>
      <c r="I165" s="18" t="str">
        <f aca="false">IF(A165="","",IF(D165="No","Not required",IF(H165="","Not trained",IF(H165&lt;Dashboard!$C$5,"Expired",IF(H165-Dashboard!$C$5&lt;=Lists!$R$6,"Expiring","Current")))))</f>
        <v/>
      </c>
      <c r="J165" s="24"/>
      <c r="K165" s="10"/>
    </row>
    <row r="166" customFormat="false" ht="15" hidden="false" customHeight="false" outlineLevel="0" collapsed="false">
      <c r="A166" s="10"/>
      <c r="B166" s="10"/>
      <c r="C166" s="10"/>
      <c r="D166" s="24"/>
      <c r="E166" s="10"/>
      <c r="F166" s="11"/>
      <c r="G166" s="27"/>
      <c r="H166" s="28" t="str">
        <f aca="false">IF(OR(F166="",G166=""),"",EDATE(F166,G166))</f>
        <v/>
      </c>
      <c r="I166" s="18" t="str">
        <f aca="false">IF(A166="","",IF(D166="No","Not required",IF(H166="","Not trained",IF(H166&lt;Dashboard!$C$5,"Expired",IF(H166-Dashboard!$C$5&lt;=Lists!$R$6,"Expiring","Current")))))</f>
        <v/>
      </c>
      <c r="J166" s="24"/>
      <c r="K166" s="10"/>
    </row>
    <row r="167" customFormat="false" ht="15" hidden="false" customHeight="false" outlineLevel="0" collapsed="false">
      <c r="A167" s="10"/>
      <c r="B167" s="10"/>
      <c r="C167" s="10"/>
      <c r="D167" s="24"/>
      <c r="E167" s="10"/>
      <c r="F167" s="11"/>
      <c r="G167" s="27"/>
      <c r="H167" s="28" t="str">
        <f aca="false">IF(OR(F167="",G167=""),"",EDATE(F167,G167))</f>
        <v/>
      </c>
      <c r="I167" s="18" t="str">
        <f aca="false">IF(A167="","",IF(D167="No","Not required",IF(H167="","Not trained",IF(H167&lt;Dashboard!$C$5,"Expired",IF(H167-Dashboard!$C$5&lt;=Lists!$R$6,"Expiring","Current")))))</f>
        <v/>
      </c>
      <c r="J167" s="24"/>
      <c r="K167" s="10"/>
    </row>
    <row r="168" customFormat="false" ht="15" hidden="false" customHeight="false" outlineLevel="0" collapsed="false">
      <c r="A168" s="10"/>
      <c r="B168" s="10"/>
      <c r="C168" s="10"/>
      <c r="D168" s="24"/>
      <c r="E168" s="10"/>
      <c r="F168" s="11"/>
      <c r="G168" s="27"/>
      <c r="H168" s="28" t="str">
        <f aca="false">IF(OR(F168="",G168=""),"",EDATE(F168,G168))</f>
        <v/>
      </c>
      <c r="I168" s="18" t="str">
        <f aca="false">IF(A168="","",IF(D168="No","Not required",IF(H168="","Not trained",IF(H168&lt;Dashboard!$C$5,"Expired",IF(H168-Dashboard!$C$5&lt;=Lists!$R$6,"Expiring","Current")))))</f>
        <v/>
      </c>
      <c r="J168" s="24"/>
      <c r="K168" s="10"/>
    </row>
    <row r="169" customFormat="false" ht="15" hidden="false" customHeight="false" outlineLevel="0" collapsed="false">
      <c r="A169" s="10"/>
      <c r="B169" s="10"/>
      <c r="C169" s="10"/>
      <c r="D169" s="24"/>
      <c r="E169" s="10"/>
      <c r="F169" s="11"/>
      <c r="G169" s="27"/>
      <c r="H169" s="28" t="str">
        <f aca="false">IF(OR(F169="",G169=""),"",EDATE(F169,G169))</f>
        <v/>
      </c>
      <c r="I169" s="18" t="str">
        <f aca="false">IF(A169="","",IF(D169="No","Not required",IF(H169="","Not trained",IF(H169&lt;Dashboard!$C$5,"Expired",IF(H169-Dashboard!$C$5&lt;=Lists!$R$6,"Expiring","Current")))))</f>
        <v/>
      </c>
      <c r="J169" s="24"/>
      <c r="K169" s="10"/>
    </row>
    <row r="170" customFormat="false" ht="15" hidden="false" customHeight="false" outlineLevel="0" collapsed="false">
      <c r="A170" s="10"/>
      <c r="B170" s="10"/>
      <c r="C170" s="10"/>
      <c r="D170" s="24"/>
      <c r="E170" s="10"/>
      <c r="F170" s="11"/>
      <c r="G170" s="27"/>
      <c r="H170" s="28" t="str">
        <f aca="false">IF(OR(F170="",G170=""),"",EDATE(F170,G170))</f>
        <v/>
      </c>
      <c r="I170" s="18" t="str">
        <f aca="false">IF(A170="","",IF(D170="No","Not required",IF(H170="","Not trained",IF(H170&lt;Dashboard!$C$5,"Expired",IF(H170-Dashboard!$C$5&lt;=Lists!$R$6,"Expiring","Current")))))</f>
        <v/>
      </c>
      <c r="J170" s="24"/>
      <c r="K170" s="10"/>
    </row>
    <row r="171" customFormat="false" ht="15" hidden="false" customHeight="false" outlineLevel="0" collapsed="false">
      <c r="A171" s="10"/>
      <c r="B171" s="10"/>
      <c r="C171" s="10"/>
      <c r="D171" s="24"/>
      <c r="E171" s="10"/>
      <c r="F171" s="11"/>
      <c r="G171" s="27"/>
      <c r="H171" s="28" t="str">
        <f aca="false">IF(OR(F171="",G171=""),"",EDATE(F171,G171))</f>
        <v/>
      </c>
      <c r="I171" s="18" t="str">
        <f aca="false">IF(A171="","",IF(D171="No","Not required",IF(H171="","Not trained",IF(H171&lt;Dashboard!$C$5,"Expired",IF(H171-Dashboard!$C$5&lt;=Lists!$R$6,"Expiring","Current")))))</f>
        <v/>
      </c>
      <c r="J171" s="24"/>
      <c r="K171" s="10"/>
    </row>
    <row r="172" customFormat="false" ht="15" hidden="false" customHeight="false" outlineLevel="0" collapsed="false">
      <c r="A172" s="10"/>
      <c r="B172" s="10"/>
      <c r="C172" s="10"/>
      <c r="D172" s="24"/>
      <c r="E172" s="10"/>
      <c r="F172" s="11"/>
      <c r="G172" s="27"/>
      <c r="H172" s="28" t="str">
        <f aca="false">IF(OR(F172="",G172=""),"",EDATE(F172,G172))</f>
        <v/>
      </c>
      <c r="I172" s="18" t="str">
        <f aca="false">IF(A172="","",IF(D172="No","Not required",IF(H172="","Not trained",IF(H172&lt;Dashboard!$C$5,"Expired",IF(H172-Dashboard!$C$5&lt;=Lists!$R$6,"Expiring","Current")))))</f>
        <v/>
      </c>
      <c r="J172" s="24"/>
      <c r="K172" s="10"/>
    </row>
    <row r="173" customFormat="false" ht="15" hidden="false" customHeight="false" outlineLevel="0" collapsed="false">
      <c r="A173" s="10"/>
      <c r="B173" s="10"/>
      <c r="C173" s="10"/>
      <c r="D173" s="24"/>
      <c r="E173" s="10"/>
      <c r="F173" s="11"/>
      <c r="G173" s="27"/>
      <c r="H173" s="28" t="str">
        <f aca="false">IF(OR(F173="",G173=""),"",EDATE(F173,G173))</f>
        <v/>
      </c>
      <c r="I173" s="18" t="str">
        <f aca="false">IF(A173="","",IF(D173="No","Not required",IF(H173="","Not trained",IF(H173&lt;Dashboard!$C$5,"Expired",IF(H173-Dashboard!$C$5&lt;=Lists!$R$6,"Expiring","Current")))))</f>
        <v/>
      </c>
      <c r="J173" s="24"/>
      <c r="K173" s="10"/>
    </row>
    <row r="174" customFormat="false" ht="15" hidden="false" customHeight="false" outlineLevel="0" collapsed="false">
      <c r="A174" s="10"/>
      <c r="B174" s="10"/>
      <c r="C174" s="10"/>
      <c r="D174" s="24"/>
      <c r="E174" s="10"/>
      <c r="F174" s="11"/>
      <c r="G174" s="27"/>
      <c r="H174" s="28" t="str">
        <f aca="false">IF(OR(F174="",G174=""),"",EDATE(F174,G174))</f>
        <v/>
      </c>
      <c r="I174" s="18" t="str">
        <f aca="false">IF(A174="","",IF(D174="No","Not required",IF(H174="","Not trained",IF(H174&lt;Dashboard!$C$5,"Expired",IF(H174-Dashboard!$C$5&lt;=Lists!$R$6,"Expiring","Current")))))</f>
        <v/>
      </c>
      <c r="J174" s="24"/>
      <c r="K174" s="10"/>
    </row>
    <row r="175" customFormat="false" ht="15" hidden="false" customHeight="false" outlineLevel="0" collapsed="false">
      <c r="A175" s="10"/>
      <c r="B175" s="10"/>
      <c r="C175" s="10"/>
      <c r="D175" s="24"/>
      <c r="E175" s="10"/>
      <c r="F175" s="11"/>
      <c r="G175" s="27"/>
      <c r="H175" s="28" t="str">
        <f aca="false">IF(OR(F175="",G175=""),"",EDATE(F175,G175))</f>
        <v/>
      </c>
      <c r="I175" s="18" t="str">
        <f aca="false">IF(A175="","",IF(D175="No","Not required",IF(H175="","Not trained",IF(H175&lt;Dashboard!$C$5,"Expired",IF(H175-Dashboard!$C$5&lt;=Lists!$R$6,"Expiring","Current")))))</f>
        <v/>
      </c>
      <c r="J175" s="24"/>
      <c r="K175" s="10"/>
    </row>
    <row r="176" customFormat="false" ht="15" hidden="false" customHeight="false" outlineLevel="0" collapsed="false">
      <c r="A176" s="10"/>
      <c r="B176" s="10"/>
      <c r="C176" s="10"/>
      <c r="D176" s="24"/>
      <c r="E176" s="10"/>
      <c r="F176" s="11"/>
      <c r="G176" s="27"/>
      <c r="H176" s="28" t="str">
        <f aca="false">IF(OR(F176="",G176=""),"",EDATE(F176,G176))</f>
        <v/>
      </c>
      <c r="I176" s="18" t="str">
        <f aca="false">IF(A176="","",IF(D176="No","Not required",IF(H176="","Not trained",IF(H176&lt;Dashboard!$C$5,"Expired",IF(H176-Dashboard!$C$5&lt;=Lists!$R$6,"Expiring","Current")))))</f>
        <v/>
      </c>
      <c r="J176" s="24"/>
      <c r="K176" s="10"/>
    </row>
    <row r="177" customFormat="false" ht="15" hidden="false" customHeight="false" outlineLevel="0" collapsed="false">
      <c r="A177" s="10"/>
      <c r="B177" s="10"/>
      <c r="C177" s="10"/>
      <c r="D177" s="24"/>
      <c r="E177" s="10"/>
      <c r="F177" s="11"/>
      <c r="G177" s="27"/>
      <c r="H177" s="28" t="str">
        <f aca="false">IF(OR(F177="",G177=""),"",EDATE(F177,G177))</f>
        <v/>
      </c>
      <c r="I177" s="18" t="str">
        <f aca="false">IF(A177="","",IF(D177="No","Not required",IF(H177="","Not trained",IF(H177&lt;Dashboard!$C$5,"Expired",IF(H177-Dashboard!$C$5&lt;=Lists!$R$6,"Expiring","Current")))))</f>
        <v/>
      </c>
      <c r="J177" s="24"/>
      <c r="K177" s="10"/>
    </row>
    <row r="178" customFormat="false" ht="15" hidden="false" customHeight="false" outlineLevel="0" collapsed="false">
      <c r="A178" s="10"/>
      <c r="B178" s="10"/>
      <c r="C178" s="10"/>
      <c r="D178" s="24"/>
      <c r="E178" s="10"/>
      <c r="F178" s="11"/>
      <c r="G178" s="27"/>
      <c r="H178" s="28" t="str">
        <f aca="false">IF(OR(F178="",G178=""),"",EDATE(F178,G178))</f>
        <v/>
      </c>
      <c r="I178" s="18" t="str">
        <f aca="false">IF(A178="","",IF(D178="No","Not required",IF(H178="","Not trained",IF(H178&lt;Dashboard!$C$5,"Expired",IF(H178-Dashboard!$C$5&lt;=Lists!$R$6,"Expiring","Current")))))</f>
        <v/>
      </c>
      <c r="J178" s="24"/>
      <c r="K178" s="10"/>
    </row>
    <row r="179" customFormat="false" ht="15" hidden="false" customHeight="false" outlineLevel="0" collapsed="false">
      <c r="A179" s="10"/>
      <c r="B179" s="10"/>
      <c r="C179" s="10"/>
      <c r="D179" s="24"/>
      <c r="E179" s="10"/>
      <c r="F179" s="11"/>
      <c r="G179" s="27"/>
      <c r="H179" s="28" t="str">
        <f aca="false">IF(OR(F179="",G179=""),"",EDATE(F179,G179))</f>
        <v/>
      </c>
      <c r="I179" s="18" t="str">
        <f aca="false">IF(A179="","",IF(D179="No","Not required",IF(H179="","Not trained",IF(H179&lt;Dashboard!$C$5,"Expired",IF(H179-Dashboard!$C$5&lt;=Lists!$R$6,"Expiring","Current")))))</f>
        <v/>
      </c>
      <c r="J179" s="24"/>
      <c r="K179" s="10"/>
    </row>
    <row r="180" customFormat="false" ht="15" hidden="false" customHeight="false" outlineLevel="0" collapsed="false">
      <c r="A180" s="10"/>
      <c r="B180" s="10"/>
      <c r="C180" s="10"/>
      <c r="D180" s="24"/>
      <c r="E180" s="10"/>
      <c r="F180" s="11"/>
      <c r="G180" s="27"/>
      <c r="H180" s="28" t="str">
        <f aca="false">IF(OR(F180="",G180=""),"",EDATE(F180,G180))</f>
        <v/>
      </c>
      <c r="I180" s="18" t="str">
        <f aca="false">IF(A180="","",IF(D180="No","Not required",IF(H180="","Not trained",IF(H180&lt;Dashboard!$C$5,"Expired",IF(H180-Dashboard!$C$5&lt;=Lists!$R$6,"Expiring","Current")))))</f>
        <v/>
      </c>
      <c r="J180" s="24"/>
      <c r="K180" s="10"/>
    </row>
    <row r="181" customFormat="false" ht="15" hidden="false" customHeight="false" outlineLevel="0" collapsed="false">
      <c r="A181" s="10"/>
      <c r="B181" s="10"/>
      <c r="C181" s="10"/>
      <c r="D181" s="24"/>
      <c r="E181" s="10"/>
      <c r="F181" s="11"/>
      <c r="G181" s="27"/>
      <c r="H181" s="28" t="str">
        <f aca="false">IF(OR(F181="",G181=""),"",EDATE(F181,G181))</f>
        <v/>
      </c>
      <c r="I181" s="18" t="str">
        <f aca="false">IF(A181="","",IF(D181="No","Not required",IF(H181="","Not trained",IF(H181&lt;Dashboard!$C$5,"Expired",IF(H181-Dashboard!$C$5&lt;=Lists!$R$6,"Expiring","Current")))))</f>
        <v/>
      </c>
      <c r="J181" s="24"/>
      <c r="K181" s="10"/>
    </row>
    <row r="182" customFormat="false" ht="15" hidden="false" customHeight="false" outlineLevel="0" collapsed="false">
      <c r="A182" s="10"/>
      <c r="B182" s="10"/>
      <c r="C182" s="10"/>
      <c r="D182" s="24"/>
      <c r="E182" s="10"/>
      <c r="F182" s="11"/>
      <c r="G182" s="27"/>
      <c r="H182" s="28" t="str">
        <f aca="false">IF(OR(F182="",G182=""),"",EDATE(F182,G182))</f>
        <v/>
      </c>
      <c r="I182" s="18" t="str">
        <f aca="false">IF(A182="","",IF(D182="No","Not required",IF(H182="","Not trained",IF(H182&lt;Dashboard!$C$5,"Expired",IF(H182-Dashboard!$C$5&lt;=Lists!$R$6,"Expiring","Current")))))</f>
        <v/>
      </c>
      <c r="J182" s="24"/>
      <c r="K182" s="10"/>
    </row>
    <row r="183" customFormat="false" ht="15" hidden="false" customHeight="false" outlineLevel="0" collapsed="false">
      <c r="A183" s="10"/>
      <c r="B183" s="10"/>
      <c r="C183" s="10"/>
      <c r="D183" s="24"/>
      <c r="E183" s="10"/>
      <c r="F183" s="11"/>
      <c r="G183" s="27"/>
      <c r="H183" s="28" t="str">
        <f aca="false">IF(OR(F183="",G183=""),"",EDATE(F183,G183))</f>
        <v/>
      </c>
      <c r="I183" s="18" t="str">
        <f aca="false">IF(A183="","",IF(D183="No","Not required",IF(H183="","Not trained",IF(H183&lt;Dashboard!$C$5,"Expired",IF(H183-Dashboard!$C$5&lt;=Lists!$R$6,"Expiring","Current")))))</f>
        <v/>
      </c>
      <c r="J183" s="24"/>
      <c r="K183" s="10"/>
    </row>
    <row r="184" customFormat="false" ht="15" hidden="false" customHeight="false" outlineLevel="0" collapsed="false">
      <c r="A184" s="10"/>
      <c r="B184" s="10"/>
      <c r="C184" s="10"/>
      <c r="D184" s="24"/>
      <c r="E184" s="10"/>
      <c r="F184" s="11"/>
      <c r="G184" s="27"/>
      <c r="H184" s="28" t="str">
        <f aca="false">IF(OR(F184="",G184=""),"",EDATE(F184,G184))</f>
        <v/>
      </c>
      <c r="I184" s="18" t="str">
        <f aca="false">IF(A184="","",IF(D184="No","Not required",IF(H184="","Not trained",IF(H184&lt;Dashboard!$C$5,"Expired",IF(H184-Dashboard!$C$5&lt;=Lists!$R$6,"Expiring","Current")))))</f>
        <v/>
      </c>
      <c r="J184" s="24"/>
      <c r="K184" s="10"/>
    </row>
    <row r="185" customFormat="false" ht="15" hidden="false" customHeight="false" outlineLevel="0" collapsed="false">
      <c r="A185" s="10"/>
      <c r="B185" s="10"/>
      <c r="C185" s="10"/>
      <c r="D185" s="24"/>
      <c r="E185" s="10"/>
      <c r="F185" s="11"/>
      <c r="G185" s="27"/>
      <c r="H185" s="28" t="str">
        <f aca="false">IF(OR(F185="",G185=""),"",EDATE(F185,G185))</f>
        <v/>
      </c>
      <c r="I185" s="18" t="str">
        <f aca="false">IF(A185="","",IF(D185="No","Not required",IF(H185="","Not trained",IF(H185&lt;Dashboard!$C$5,"Expired",IF(H185-Dashboard!$C$5&lt;=Lists!$R$6,"Expiring","Current")))))</f>
        <v/>
      </c>
      <c r="J185" s="24"/>
      <c r="K185" s="10"/>
    </row>
    <row r="186" customFormat="false" ht="15" hidden="false" customHeight="false" outlineLevel="0" collapsed="false">
      <c r="A186" s="10"/>
      <c r="B186" s="10"/>
      <c r="C186" s="10"/>
      <c r="D186" s="24"/>
      <c r="E186" s="10"/>
      <c r="F186" s="11"/>
      <c r="G186" s="27"/>
      <c r="H186" s="28" t="str">
        <f aca="false">IF(OR(F186="",G186=""),"",EDATE(F186,G186))</f>
        <v/>
      </c>
      <c r="I186" s="18" t="str">
        <f aca="false">IF(A186="","",IF(D186="No","Not required",IF(H186="","Not trained",IF(H186&lt;Dashboard!$C$5,"Expired",IF(H186-Dashboard!$C$5&lt;=Lists!$R$6,"Expiring","Current")))))</f>
        <v/>
      </c>
      <c r="J186" s="24"/>
      <c r="K186" s="10"/>
    </row>
    <row r="187" customFormat="false" ht="15" hidden="false" customHeight="false" outlineLevel="0" collapsed="false">
      <c r="A187" s="10"/>
      <c r="B187" s="10"/>
      <c r="C187" s="10"/>
      <c r="D187" s="24"/>
      <c r="E187" s="10"/>
      <c r="F187" s="11"/>
      <c r="G187" s="27"/>
      <c r="H187" s="28" t="str">
        <f aca="false">IF(OR(F187="",G187=""),"",EDATE(F187,G187))</f>
        <v/>
      </c>
      <c r="I187" s="18" t="str">
        <f aca="false">IF(A187="","",IF(D187="No","Not required",IF(H187="","Not trained",IF(H187&lt;Dashboard!$C$5,"Expired",IF(H187-Dashboard!$C$5&lt;=Lists!$R$6,"Expiring","Current")))))</f>
        <v/>
      </c>
      <c r="J187" s="24"/>
      <c r="K187" s="10"/>
    </row>
    <row r="188" customFormat="false" ht="15" hidden="false" customHeight="false" outlineLevel="0" collapsed="false">
      <c r="A188" s="10"/>
      <c r="B188" s="10"/>
      <c r="C188" s="10"/>
      <c r="D188" s="24"/>
      <c r="E188" s="10"/>
      <c r="F188" s="11"/>
      <c r="G188" s="27"/>
      <c r="H188" s="28" t="str">
        <f aca="false">IF(OR(F188="",G188=""),"",EDATE(F188,G188))</f>
        <v/>
      </c>
      <c r="I188" s="18" t="str">
        <f aca="false">IF(A188="","",IF(D188="No","Not required",IF(H188="","Not trained",IF(H188&lt;Dashboard!$C$5,"Expired",IF(H188-Dashboard!$C$5&lt;=Lists!$R$6,"Expiring","Current")))))</f>
        <v/>
      </c>
      <c r="J188" s="24"/>
      <c r="K188" s="10"/>
    </row>
    <row r="189" customFormat="false" ht="15" hidden="false" customHeight="false" outlineLevel="0" collapsed="false">
      <c r="A189" s="10"/>
      <c r="B189" s="10"/>
      <c r="C189" s="10"/>
      <c r="D189" s="24"/>
      <c r="E189" s="10"/>
      <c r="F189" s="11"/>
      <c r="G189" s="27"/>
      <c r="H189" s="28" t="str">
        <f aca="false">IF(OR(F189="",G189=""),"",EDATE(F189,G189))</f>
        <v/>
      </c>
      <c r="I189" s="18" t="str">
        <f aca="false">IF(A189="","",IF(D189="No","Not required",IF(H189="","Not trained",IF(H189&lt;Dashboard!$C$5,"Expired",IF(H189-Dashboard!$C$5&lt;=Lists!$R$6,"Expiring","Current")))))</f>
        <v/>
      </c>
      <c r="J189" s="24"/>
      <c r="K189" s="10"/>
    </row>
    <row r="190" customFormat="false" ht="15" hidden="false" customHeight="false" outlineLevel="0" collapsed="false">
      <c r="A190" s="10"/>
      <c r="B190" s="10"/>
      <c r="C190" s="10"/>
      <c r="D190" s="24"/>
      <c r="E190" s="10"/>
      <c r="F190" s="11"/>
      <c r="G190" s="27"/>
      <c r="H190" s="28" t="str">
        <f aca="false">IF(OR(F190="",G190=""),"",EDATE(F190,G190))</f>
        <v/>
      </c>
      <c r="I190" s="18" t="str">
        <f aca="false">IF(A190="","",IF(D190="No","Not required",IF(H190="","Not trained",IF(H190&lt;Dashboard!$C$5,"Expired",IF(H190-Dashboard!$C$5&lt;=Lists!$R$6,"Expiring","Current")))))</f>
        <v/>
      </c>
      <c r="J190" s="24"/>
      <c r="K190" s="10"/>
    </row>
    <row r="191" customFormat="false" ht="15" hidden="false" customHeight="false" outlineLevel="0" collapsed="false">
      <c r="A191" s="10"/>
      <c r="B191" s="10"/>
      <c r="C191" s="10"/>
      <c r="D191" s="24"/>
      <c r="E191" s="10"/>
      <c r="F191" s="11"/>
      <c r="G191" s="27"/>
      <c r="H191" s="28" t="str">
        <f aca="false">IF(OR(F191="",G191=""),"",EDATE(F191,G191))</f>
        <v/>
      </c>
      <c r="I191" s="18" t="str">
        <f aca="false">IF(A191="","",IF(D191="No","Not required",IF(H191="","Not trained",IF(H191&lt;Dashboard!$C$5,"Expired",IF(H191-Dashboard!$C$5&lt;=Lists!$R$6,"Expiring","Current")))))</f>
        <v/>
      </c>
      <c r="J191" s="24"/>
      <c r="K191" s="10"/>
    </row>
    <row r="192" customFormat="false" ht="15" hidden="false" customHeight="false" outlineLevel="0" collapsed="false">
      <c r="A192" s="10"/>
      <c r="B192" s="10"/>
      <c r="C192" s="10"/>
      <c r="D192" s="24"/>
      <c r="E192" s="10"/>
      <c r="F192" s="11"/>
      <c r="G192" s="27"/>
      <c r="H192" s="28" t="str">
        <f aca="false">IF(OR(F192="",G192=""),"",EDATE(F192,G192))</f>
        <v/>
      </c>
      <c r="I192" s="18" t="str">
        <f aca="false">IF(A192="","",IF(D192="No","Not required",IF(H192="","Not trained",IF(H192&lt;Dashboard!$C$5,"Expired",IF(H192-Dashboard!$C$5&lt;=Lists!$R$6,"Expiring","Current")))))</f>
        <v/>
      </c>
      <c r="J192" s="24"/>
      <c r="K192" s="10"/>
    </row>
    <row r="193" customFormat="false" ht="15" hidden="false" customHeight="false" outlineLevel="0" collapsed="false">
      <c r="A193" s="10"/>
      <c r="B193" s="10"/>
      <c r="C193" s="10"/>
      <c r="D193" s="24"/>
      <c r="E193" s="10"/>
      <c r="F193" s="11"/>
      <c r="G193" s="27"/>
      <c r="H193" s="28" t="str">
        <f aca="false">IF(OR(F193="",G193=""),"",EDATE(F193,G193))</f>
        <v/>
      </c>
      <c r="I193" s="18" t="str">
        <f aca="false">IF(A193="","",IF(D193="No","Not required",IF(H193="","Not trained",IF(H193&lt;Dashboard!$C$5,"Expired",IF(H193-Dashboard!$C$5&lt;=Lists!$R$6,"Expiring","Current")))))</f>
        <v/>
      </c>
      <c r="J193" s="24"/>
      <c r="K193" s="10"/>
    </row>
    <row r="194" customFormat="false" ht="15" hidden="false" customHeight="false" outlineLevel="0" collapsed="false">
      <c r="A194" s="10"/>
      <c r="B194" s="10"/>
      <c r="C194" s="10"/>
      <c r="D194" s="24"/>
      <c r="E194" s="10"/>
      <c r="F194" s="11"/>
      <c r="G194" s="27"/>
      <c r="H194" s="28" t="str">
        <f aca="false">IF(OR(F194="",G194=""),"",EDATE(F194,G194))</f>
        <v/>
      </c>
      <c r="I194" s="18" t="str">
        <f aca="false">IF(A194="","",IF(D194="No","Not required",IF(H194="","Not trained",IF(H194&lt;Dashboard!$C$5,"Expired",IF(H194-Dashboard!$C$5&lt;=Lists!$R$6,"Expiring","Current")))))</f>
        <v/>
      </c>
      <c r="J194" s="24"/>
      <c r="K194" s="10"/>
    </row>
    <row r="195" customFormat="false" ht="15" hidden="false" customHeight="false" outlineLevel="0" collapsed="false">
      <c r="A195" s="10"/>
      <c r="B195" s="10"/>
      <c r="C195" s="10"/>
      <c r="D195" s="24"/>
      <c r="E195" s="10"/>
      <c r="F195" s="11"/>
      <c r="G195" s="27"/>
      <c r="H195" s="28" t="str">
        <f aca="false">IF(OR(F195="",G195=""),"",EDATE(F195,G195))</f>
        <v/>
      </c>
      <c r="I195" s="18" t="str">
        <f aca="false">IF(A195="","",IF(D195="No","Not required",IF(H195="","Not trained",IF(H195&lt;Dashboard!$C$5,"Expired",IF(H195-Dashboard!$C$5&lt;=Lists!$R$6,"Expiring","Current")))))</f>
        <v/>
      </c>
      <c r="J195" s="24"/>
      <c r="K195" s="10"/>
    </row>
    <row r="196" customFormat="false" ht="15" hidden="false" customHeight="false" outlineLevel="0" collapsed="false">
      <c r="A196" s="10"/>
      <c r="B196" s="10"/>
      <c r="C196" s="10"/>
      <c r="D196" s="24"/>
      <c r="E196" s="10"/>
      <c r="F196" s="11"/>
      <c r="G196" s="27"/>
      <c r="H196" s="28" t="str">
        <f aca="false">IF(OR(F196="",G196=""),"",EDATE(F196,G196))</f>
        <v/>
      </c>
      <c r="I196" s="18" t="str">
        <f aca="false">IF(A196="","",IF(D196="No","Not required",IF(H196="","Not trained",IF(H196&lt;Dashboard!$C$5,"Expired",IF(H196-Dashboard!$C$5&lt;=Lists!$R$6,"Expiring","Current")))))</f>
        <v/>
      </c>
      <c r="J196" s="24"/>
      <c r="K196" s="10"/>
    </row>
    <row r="197" customFormat="false" ht="15" hidden="false" customHeight="false" outlineLevel="0" collapsed="false">
      <c r="A197" s="10"/>
      <c r="B197" s="10"/>
      <c r="C197" s="10"/>
      <c r="D197" s="24"/>
      <c r="E197" s="10"/>
      <c r="F197" s="11"/>
      <c r="G197" s="27"/>
      <c r="H197" s="28" t="str">
        <f aca="false">IF(OR(F197="",G197=""),"",EDATE(F197,G197))</f>
        <v/>
      </c>
      <c r="I197" s="18" t="str">
        <f aca="false">IF(A197="","",IF(D197="No","Not required",IF(H197="","Not trained",IF(H197&lt;Dashboard!$C$5,"Expired",IF(H197-Dashboard!$C$5&lt;=Lists!$R$6,"Expiring","Current")))))</f>
        <v/>
      </c>
      <c r="J197" s="24"/>
      <c r="K197" s="10"/>
    </row>
    <row r="198" customFormat="false" ht="15" hidden="false" customHeight="false" outlineLevel="0" collapsed="false">
      <c r="A198" s="10"/>
      <c r="B198" s="10"/>
      <c r="C198" s="10"/>
      <c r="D198" s="24"/>
      <c r="E198" s="10"/>
      <c r="F198" s="11"/>
      <c r="G198" s="27"/>
      <c r="H198" s="28" t="str">
        <f aca="false">IF(OR(F198="",G198=""),"",EDATE(F198,G198))</f>
        <v/>
      </c>
      <c r="I198" s="18" t="str">
        <f aca="false">IF(A198="","",IF(D198="No","Not required",IF(H198="","Not trained",IF(H198&lt;Dashboard!$C$5,"Expired",IF(H198-Dashboard!$C$5&lt;=Lists!$R$6,"Expiring","Current")))))</f>
        <v/>
      </c>
      <c r="J198" s="24"/>
      <c r="K198" s="10"/>
    </row>
    <row r="199" customFormat="false" ht="15" hidden="false" customHeight="false" outlineLevel="0" collapsed="false">
      <c r="A199" s="10"/>
      <c r="B199" s="10"/>
      <c r="C199" s="10"/>
      <c r="D199" s="24"/>
      <c r="E199" s="10"/>
      <c r="F199" s="11"/>
      <c r="G199" s="27"/>
      <c r="H199" s="28" t="str">
        <f aca="false">IF(OR(F199="",G199=""),"",EDATE(F199,G199))</f>
        <v/>
      </c>
      <c r="I199" s="18" t="str">
        <f aca="false">IF(A199="","",IF(D199="No","Not required",IF(H199="","Not trained",IF(H199&lt;Dashboard!$C$5,"Expired",IF(H199-Dashboard!$C$5&lt;=Lists!$R$6,"Expiring","Current")))))</f>
        <v/>
      </c>
      <c r="J199" s="24"/>
      <c r="K199" s="10"/>
    </row>
    <row r="200" customFormat="false" ht="15" hidden="false" customHeight="false" outlineLevel="0" collapsed="false">
      <c r="A200" s="10"/>
      <c r="B200" s="10"/>
      <c r="C200" s="10"/>
      <c r="D200" s="24"/>
      <c r="E200" s="10"/>
      <c r="F200" s="11"/>
      <c r="G200" s="27"/>
      <c r="H200" s="28" t="str">
        <f aca="false">IF(OR(F200="",G200=""),"",EDATE(F200,G200))</f>
        <v/>
      </c>
      <c r="I200" s="18" t="str">
        <f aca="false">IF(A200="","",IF(D200="No","Not required",IF(H200="","Not trained",IF(H200&lt;Dashboard!$C$5,"Expired",IF(H200-Dashboard!$C$5&lt;=Lists!$R$6,"Expiring","Current")))))</f>
        <v/>
      </c>
      <c r="J200" s="24"/>
      <c r="K200" s="10"/>
    </row>
    <row r="201" customFormat="false" ht="15" hidden="false" customHeight="false" outlineLevel="0" collapsed="false">
      <c r="A201" s="10"/>
      <c r="B201" s="10"/>
      <c r="C201" s="10"/>
      <c r="D201" s="24"/>
      <c r="E201" s="10"/>
      <c r="F201" s="11"/>
      <c r="G201" s="27"/>
      <c r="H201" s="28" t="str">
        <f aca="false">IF(OR(F201="",G201=""),"",EDATE(F201,G201))</f>
        <v/>
      </c>
      <c r="I201" s="18" t="str">
        <f aca="false">IF(A201="","",IF(D201="No","Not required",IF(H201="","Not trained",IF(H201&lt;Dashboard!$C$5,"Expired",IF(H201-Dashboard!$C$5&lt;=Lists!$R$6,"Expiring","Current")))))</f>
        <v/>
      </c>
      <c r="J201" s="24"/>
      <c r="K201" s="10"/>
    </row>
    <row r="202" customFormat="false" ht="15" hidden="false" customHeight="false" outlineLevel="0" collapsed="false">
      <c r="A202" s="10"/>
      <c r="B202" s="10"/>
      <c r="C202" s="10"/>
      <c r="D202" s="24"/>
      <c r="E202" s="10"/>
      <c r="F202" s="11"/>
      <c r="G202" s="27"/>
      <c r="H202" s="28" t="str">
        <f aca="false">IF(OR(F202="",G202=""),"",EDATE(F202,G202))</f>
        <v/>
      </c>
      <c r="I202" s="18" t="str">
        <f aca="false">IF(A202="","",IF(D202="No","Not required",IF(H202="","Not trained",IF(H202&lt;Dashboard!$C$5,"Expired",IF(H202-Dashboard!$C$5&lt;=Lists!$R$6,"Expiring","Current")))))</f>
        <v/>
      </c>
      <c r="J202" s="24"/>
      <c r="K202" s="10"/>
    </row>
    <row r="203" customFormat="false" ht="15" hidden="false" customHeight="false" outlineLevel="0" collapsed="false">
      <c r="A203" s="10"/>
      <c r="B203" s="10"/>
      <c r="C203" s="10"/>
      <c r="D203" s="24"/>
      <c r="E203" s="10"/>
      <c r="F203" s="11"/>
      <c r="G203" s="27"/>
      <c r="H203" s="28" t="str">
        <f aca="false">IF(OR(F203="",G203=""),"",EDATE(F203,G203))</f>
        <v/>
      </c>
      <c r="I203" s="18" t="str">
        <f aca="false">IF(A203="","",IF(D203="No","Not required",IF(H203="","Not trained",IF(H203&lt;Dashboard!$C$5,"Expired",IF(H203-Dashboard!$C$5&lt;=Lists!$R$6,"Expiring","Current")))))</f>
        <v/>
      </c>
      <c r="J203" s="24"/>
      <c r="K203" s="10"/>
    </row>
    <row r="204" customFormat="false" ht="15" hidden="false" customHeight="false" outlineLevel="0" collapsed="false">
      <c r="A204" s="10"/>
      <c r="B204" s="10"/>
      <c r="C204" s="10"/>
      <c r="D204" s="24"/>
      <c r="E204" s="10"/>
      <c r="F204" s="11"/>
      <c r="G204" s="27"/>
      <c r="H204" s="28" t="str">
        <f aca="false">IF(OR(F204="",G204=""),"",EDATE(F204,G204))</f>
        <v/>
      </c>
      <c r="I204" s="18" t="str">
        <f aca="false">IF(A204="","",IF(D204="No","Not required",IF(H204="","Not trained",IF(H204&lt;Dashboard!$C$5,"Expired",IF(H204-Dashboard!$C$5&lt;=Lists!$R$6,"Expiring","Current")))))</f>
        <v/>
      </c>
      <c r="J204" s="24"/>
      <c r="K204" s="10"/>
    </row>
  </sheetData>
  <conditionalFormatting sqref="I5:I204">
    <cfRule type="cellIs" priority="2" operator="equal" aboveAverage="0" equalAverage="0" bottom="0" percent="0" rank="0" text="" dxfId="0">
      <formula>"Current"</formula>
    </cfRule>
    <cfRule type="cellIs" priority="3" operator="equal" aboveAverage="0" equalAverage="0" bottom="0" percent="0" rank="0" text="" dxfId="0">
      <formula>"Not required"</formula>
    </cfRule>
    <cfRule type="cellIs" priority="4" operator="equal" aboveAverage="0" equalAverage="0" bottom="0" percent="0" rank="0" text="" dxfId="1">
      <formula>"Expiring"</formula>
    </cfRule>
    <cfRule type="cellIs" priority="5" operator="equal" aboveAverage="0" equalAverage="0" bottom="0" percent="0" rank="0" text="" dxfId="2">
      <formula>"Expired"</formula>
    </cfRule>
    <cfRule type="cellIs" priority="6" operator="equal" aboveAverage="0" equalAverage="0" bottom="0" percent="0" rank="0" text="" dxfId="2">
      <formula>"Not trained"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C5:C204" type="list">
      <formula1>Lists!$H$2:$H$13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E5:E204" type="list">
      <formula1>Lists!$I$2:$I$11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20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5:J20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8"/>
  </cols>
  <sheetData>
    <row r="1" customFormat="false" ht="19.7" hidden="false" customHeight="false" outlineLevel="0" collapsed="false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443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2" t="s">
        <v>237</v>
      </c>
      <c r="B4" s="12" t="s">
        <v>444</v>
      </c>
      <c r="C4" s="12" t="s">
        <v>178</v>
      </c>
      <c r="D4" s="12" t="s">
        <v>445</v>
      </c>
      <c r="E4" s="12" t="s">
        <v>238</v>
      </c>
      <c r="F4" s="12" t="s">
        <v>446</v>
      </c>
      <c r="G4" s="12" t="s">
        <v>447</v>
      </c>
      <c r="H4" s="12" t="s">
        <v>448</v>
      </c>
      <c r="I4" s="12" t="s">
        <v>449</v>
      </c>
      <c r="J4" s="12" t="s">
        <v>450</v>
      </c>
      <c r="K4" s="12" t="s">
        <v>451</v>
      </c>
    </row>
    <row r="5" customFormat="false" ht="26.85" hidden="false" customHeight="false" outlineLevel="0" collapsed="false">
      <c r="A5" s="11" t="n">
        <v>46262</v>
      </c>
      <c r="B5" s="10" t="s">
        <v>452</v>
      </c>
      <c r="C5" s="10" t="s">
        <v>179</v>
      </c>
      <c r="D5" s="24" t="s">
        <v>209</v>
      </c>
      <c r="E5" s="11" t="n">
        <v>46262</v>
      </c>
      <c r="F5" s="22" t="n">
        <v>620</v>
      </c>
      <c r="G5" s="22" t="n">
        <v>618</v>
      </c>
      <c r="H5" s="26" t="n">
        <f aca="false">IF(OR(F5="",G5="",F5=0),"",G5/F5)</f>
        <v>0.996774193548387</v>
      </c>
      <c r="I5" s="31" t="n">
        <v>6.5</v>
      </c>
      <c r="J5" s="18" t="str">
        <f aca="false">IF(A5="","",IF(D5="Yes","Completed",IF(A5&lt;Dashboard!$C$5,"Missed","Scheduled")))</f>
        <v>Completed</v>
      </c>
      <c r="K5" s="10" t="s">
        <v>453</v>
      </c>
    </row>
    <row r="6" customFormat="false" ht="26.85" hidden="false" customHeight="false" outlineLevel="0" collapsed="false">
      <c r="A6" s="11" t="n">
        <v>46289</v>
      </c>
      <c r="B6" s="10" t="s">
        <v>454</v>
      </c>
      <c r="C6" s="10" t="s">
        <v>246</v>
      </c>
      <c r="D6" s="24" t="s">
        <v>195</v>
      </c>
      <c r="E6" s="11"/>
      <c r="F6" s="22"/>
      <c r="G6" s="22"/>
      <c r="H6" s="26" t="str">
        <f aca="false">IF(OR(F6="",G6="",F6=0),"",G6/F6)</f>
        <v/>
      </c>
      <c r="I6" s="31"/>
      <c r="J6" s="18" t="str">
        <f aca="false">IF(A6="","",IF(D6="Yes","Completed",IF(A6&lt;Dashboard!$C$5,"Missed","Scheduled")))</f>
        <v>Missed</v>
      </c>
      <c r="K6" s="10"/>
    </row>
    <row r="7" customFormat="false" ht="26.85" hidden="false" customHeight="false" outlineLevel="0" collapsed="false">
      <c r="A7" s="11" t="n">
        <v>46340</v>
      </c>
      <c r="B7" s="10" t="s">
        <v>455</v>
      </c>
      <c r="C7" s="10" t="s">
        <v>144</v>
      </c>
      <c r="D7" s="24"/>
      <c r="E7" s="11"/>
      <c r="F7" s="22"/>
      <c r="G7" s="22"/>
      <c r="H7" s="26" t="str">
        <f aca="false">IF(OR(F7="",G7="",F7=0),"",G7/F7)</f>
        <v/>
      </c>
      <c r="I7" s="31"/>
      <c r="J7" s="18" t="str">
        <f aca="false">IF(A7="","",IF(D7="Yes","Completed",IF(A7&lt;Dashboard!$C$5,"Missed","Scheduled")))</f>
        <v>Scheduled</v>
      </c>
      <c r="K7" s="10"/>
    </row>
    <row r="8" customFormat="false" ht="15" hidden="false" customHeight="false" outlineLevel="0" collapsed="false">
      <c r="A8" s="11"/>
      <c r="B8" s="10"/>
      <c r="C8" s="10"/>
      <c r="D8" s="24"/>
      <c r="E8" s="11"/>
      <c r="F8" s="22"/>
      <c r="G8" s="22"/>
      <c r="H8" s="26" t="str">
        <f aca="false">IF(OR(F8="",G8="",F8=0),"",G8/F8)</f>
        <v/>
      </c>
      <c r="I8" s="31"/>
      <c r="J8" s="18" t="str">
        <f aca="false">IF(A8="","",IF(D8="Yes","Completed",IF(A8&lt;Dashboard!$C$5,"Missed","Scheduled")))</f>
        <v/>
      </c>
      <c r="K8" s="10"/>
    </row>
    <row r="9" customFormat="false" ht="15" hidden="false" customHeight="false" outlineLevel="0" collapsed="false">
      <c r="A9" s="11"/>
      <c r="B9" s="10"/>
      <c r="C9" s="10"/>
      <c r="D9" s="24"/>
      <c r="E9" s="11"/>
      <c r="F9" s="22"/>
      <c r="G9" s="22"/>
      <c r="H9" s="26" t="str">
        <f aca="false">IF(OR(F9="",G9="",F9=0),"",G9/F9)</f>
        <v/>
      </c>
      <c r="I9" s="31"/>
      <c r="J9" s="18" t="str">
        <f aca="false">IF(A9="","",IF(D9="Yes","Completed",IF(A9&lt;Dashboard!$C$5,"Missed","Scheduled")))</f>
        <v/>
      </c>
      <c r="K9" s="10"/>
    </row>
    <row r="10" customFormat="false" ht="15" hidden="false" customHeight="false" outlineLevel="0" collapsed="false">
      <c r="A10" s="11"/>
      <c r="B10" s="10"/>
      <c r="C10" s="10"/>
      <c r="D10" s="24"/>
      <c r="E10" s="11"/>
      <c r="F10" s="22"/>
      <c r="G10" s="22"/>
      <c r="H10" s="26" t="str">
        <f aca="false">IF(OR(F10="",G10="",F10=0),"",G10/F10)</f>
        <v/>
      </c>
      <c r="I10" s="31"/>
      <c r="J10" s="18" t="str">
        <f aca="false">IF(A10="","",IF(D10="Yes","Completed",IF(A10&lt;Dashboard!$C$5,"Missed","Scheduled")))</f>
        <v/>
      </c>
      <c r="K10" s="10"/>
    </row>
    <row r="11" customFormat="false" ht="15" hidden="false" customHeight="false" outlineLevel="0" collapsed="false">
      <c r="A11" s="11"/>
      <c r="B11" s="10"/>
      <c r="C11" s="10"/>
      <c r="D11" s="24"/>
      <c r="E11" s="11"/>
      <c r="F11" s="22"/>
      <c r="G11" s="22"/>
      <c r="H11" s="26" t="str">
        <f aca="false">IF(OR(F11="",G11="",F11=0),"",G11/F11)</f>
        <v/>
      </c>
      <c r="I11" s="31"/>
      <c r="J11" s="18" t="str">
        <f aca="false">IF(A11="","",IF(D11="Yes","Completed",IF(A11&lt;Dashboard!$C$5,"Missed","Scheduled")))</f>
        <v/>
      </c>
      <c r="K11" s="10"/>
    </row>
    <row r="12" customFormat="false" ht="15" hidden="false" customHeight="false" outlineLevel="0" collapsed="false">
      <c r="A12" s="11"/>
      <c r="B12" s="10"/>
      <c r="C12" s="10"/>
      <c r="D12" s="24"/>
      <c r="E12" s="11"/>
      <c r="F12" s="22"/>
      <c r="G12" s="22"/>
      <c r="H12" s="26" t="str">
        <f aca="false">IF(OR(F12="",G12="",F12=0),"",G12/F12)</f>
        <v/>
      </c>
      <c r="I12" s="31"/>
      <c r="J12" s="18" t="str">
        <f aca="false">IF(A12="","",IF(D12="Yes","Completed",IF(A12&lt;Dashboard!$C$5,"Missed","Scheduled")))</f>
        <v/>
      </c>
      <c r="K12" s="10"/>
    </row>
    <row r="13" customFormat="false" ht="15" hidden="false" customHeight="false" outlineLevel="0" collapsed="false">
      <c r="A13" s="11"/>
      <c r="B13" s="10"/>
      <c r="C13" s="10"/>
      <c r="D13" s="24"/>
      <c r="E13" s="11"/>
      <c r="F13" s="22"/>
      <c r="G13" s="22"/>
      <c r="H13" s="26" t="str">
        <f aca="false">IF(OR(F13="",G13="",F13=0),"",G13/F13)</f>
        <v/>
      </c>
      <c r="I13" s="31"/>
      <c r="J13" s="18" t="str">
        <f aca="false">IF(A13="","",IF(D13="Yes","Completed",IF(A13&lt;Dashboard!$C$5,"Missed","Scheduled")))</f>
        <v/>
      </c>
      <c r="K13" s="10"/>
    </row>
    <row r="14" customFormat="false" ht="15" hidden="false" customHeight="false" outlineLevel="0" collapsed="false">
      <c r="A14" s="11"/>
      <c r="B14" s="10"/>
      <c r="C14" s="10"/>
      <c r="D14" s="24"/>
      <c r="E14" s="11"/>
      <c r="F14" s="22"/>
      <c r="G14" s="22"/>
      <c r="H14" s="26" t="str">
        <f aca="false">IF(OR(F14="",G14="",F14=0),"",G14/F14)</f>
        <v/>
      </c>
      <c r="I14" s="31"/>
      <c r="J14" s="18" t="str">
        <f aca="false">IF(A14="","",IF(D14="Yes","Completed",IF(A14&lt;Dashboard!$C$5,"Missed","Scheduled")))</f>
        <v/>
      </c>
      <c r="K14" s="10"/>
    </row>
    <row r="15" customFormat="false" ht="15" hidden="false" customHeight="false" outlineLevel="0" collapsed="false">
      <c r="A15" s="11"/>
      <c r="B15" s="10"/>
      <c r="C15" s="10"/>
      <c r="D15" s="24"/>
      <c r="E15" s="11"/>
      <c r="F15" s="22"/>
      <c r="G15" s="22"/>
      <c r="H15" s="26" t="str">
        <f aca="false">IF(OR(F15="",G15="",F15=0),"",G15/F15)</f>
        <v/>
      </c>
      <c r="I15" s="31"/>
      <c r="J15" s="18" t="str">
        <f aca="false">IF(A15="","",IF(D15="Yes","Completed",IF(A15&lt;Dashboard!$C$5,"Missed","Scheduled")))</f>
        <v/>
      </c>
      <c r="K15" s="10"/>
    </row>
    <row r="16" customFormat="false" ht="15" hidden="false" customHeight="false" outlineLevel="0" collapsed="false">
      <c r="A16" s="11"/>
      <c r="B16" s="10"/>
      <c r="C16" s="10"/>
      <c r="D16" s="24"/>
      <c r="E16" s="11"/>
      <c r="F16" s="22"/>
      <c r="G16" s="22"/>
      <c r="H16" s="26" t="str">
        <f aca="false">IF(OR(F16="",G16="",F16=0),"",G16/F16)</f>
        <v/>
      </c>
      <c r="I16" s="31"/>
      <c r="J16" s="18" t="str">
        <f aca="false">IF(A16="","",IF(D16="Yes","Completed",IF(A16&lt;Dashboard!$C$5,"Missed","Scheduled")))</f>
        <v/>
      </c>
      <c r="K16" s="10"/>
    </row>
    <row r="17" customFormat="false" ht="15" hidden="false" customHeight="false" outlineLevel="0" collapsed="false">
      <c r="A17" s="11"/>
      <c r="B17" s="10"/>
      <c r="C17" s="10"/>
      <c r="D17" s="24"/>
      <c r="E17" s="11"/>
      <c r="F17" s="22"/>
      <c r="G17" s="22"/>
      <c r="H17" s="26" t="str">
        <f aca="false">IF(OR(F17="",G17="",F17=0),"",G17/F17)</f>
        <v/>
      </c>
      <c r="I17" s="31"/>
      <c r="J17" s="18" t="str">
        <f aca="false">IF(A17="","",IF(D17="Yes","Completed",IF(A17&lt;Dashboard!$C$5,"Missed","Scheduled")))</f>
        <v/>
      </c>
      <c r="K17" s="10"/>
    </row>
    <row r="18" customFormat="false" ht="15" hidden="false" customHeight="false" outlineLevel="0" collapsed="false">
      <c r="A18" s="11"/>
      <c r="B18" s="10"/>
      <c r="C18" s="10"/>
      <c r="D18" s="24"/>
      <c r="E18" s="11"/>
      <c r="F18" s="22"/>
      <c r="G18" s="22"/>
      <c r="H18" s="26" t="str">
        <f aca="false">IF(OR(F18="",G18="",F18=0),"",G18/F18)</f>
        <v/>
      </c>
      <c r="I18" s="31"/>
      <c r="J18" s="18" t="str">
        <f aca="false">IF(A18="","",IF(D18="Yes","Completed",IF(A18&lt;Dashboard!$C$5,"Missed","Scheduled")))</f>
        <v/>
      </c>
      <c r="K18" s="10"/>
    </row>
    <row r="19" customFormat="false" ht="15" hidden="false" customHeight="false" outlineLevel="0" collapsed="false">
      <c r="A19" s="11"/>
      <c r="B19" s="10"/>
      <c r="C19" s="10"/>
      <c r="D19" s="24"/>
      <c r="E19" s="11"/>
      <c r="F19" s="22"/>
      <c r="G19" s="22"/>
      <c r="H19" s="26" t="str">
        <f aca="false">IF(OR(F19="",G19="",F19=0),"",G19/F19)</f>
        <v/>
      </c>
      <c r="I19" s="31"/>
      <c r="J19" s="18" t="str">
        <f aca="false">IF(A19="","",IF(D19="Yes","Completed",IF(A19&lt;Dashboard!$C$5,"Missed","Scheduled")))</f>
        <v/>
      </c>
      <c r="K19" s="10"/>
    </row>
    <row r="20" customFormat="false" ht="15" hidden="false" customHeight="false" outlineLevel="0" collapsed="false">
      <c r="A20" s="11"/>
      <c r="B20" s="10"/>
      <c r="C20" s="10"/>
      <c r="D20" s="24"/>
      <c r="E20" s="11"/>
      <c r="F20" s="22"/>
      <c r="G20" s="22"/>
      <c r="H20" s="26" t="str">
        <f aca="false">IF(OR(F20="",G20="",F20=0),"",G20/F20)</f>
        <v/>
      </c>
      <c r="I20" s="31"/>
      <c r="J20" s="18" t="str">
        <f aca="false">IF(A20="","",IF(D20="Yes","Completed",IF(A20&lt;Dashboard!$C$5,"Missed","Scheduled")))</f>
        <v/>
      </c>
      <c r="K20" s="10"/>
    </row>
    <row r="21" customFormat="false" ht="15" hidden="false" customHeight="false" outlineLevel="0" collapsed="false">
      <c r="A21" s="11"/>
      <c r="B21" s="10"/>
      <c r="C21" s="10"/>
      <c r="D21" s="24"/>
      <c r="E21" s="11"/>
      <c r="F21" s="22"/>
      <c r="G21" s="22"/>
      <c r="H21" s="26" t="str">
        <f aca="false">IF(OR(F21="",G21="",F21=0),"",G21/F21)</f>
        <v/>
      </c>
      <c r="I21" s="31"/>
      <c r="J21" s="18" t="str">
        <f aca="false">IF(A21="","",IF(D21="Yes","Completed",IF(A21&lt;Dashboard!$C$5,"Missed","Scheduled")))</f>
        <v/>
      </c>
      <c r="K21" s="10"/>
    </row>
    <row r="22" customFormat="false" ht="15" hidden="false" customHeight="false" outlineLevel="0" collapsed="false">
      <c r="A22" s="11"/>
      <c r="B22" s="10"/>
      <c r="C22" s="10"/>
      <c r="D22" s="24"/>
      <c r="E22" s="11"/>
      <c r="F22" s="22"/>
      <c r="G22" s="22"/>
      <c r="H22" s="26" t="str">
        <f aca="false">IF(OR(F22="",G22="",F22=0),"",G22/F22)</f>
        <v/>
      </c>
      <c r="I22" s="31"/>
      <c r="J22" s="18" t="str">
        <f aca="false">IF(A22="","",IF(D22="Yes","Completed",IF(A22&lt;Dashboard!$C$5,"Missed","Scheduled")))</f>
        <v/>
      </c>
      <c r="K22" s="10"/>
    </row>
    <row r="23" customFormat="false" ht="15" hidden="false" customHeight="false" outlineLevel="0" collapsed="false">
      <c r="A23" s="11"/>
      <c r="B23" s="10"/>
      <c r="C23" s="10"/>
      <c r="D23" s="24"/>
      <c r="E23" s="11"/>
      <c r="F23" s="22"/>
      <c r="G23" s="22"/>
      <c r="H23" s="26" t="str">
        <f aca="false">IF(OR(F23="",G23="",F23=0),"",G23/F23)</f>
        <v/>
      </c>
      <c r="I23" s="31"/>
      <c r="J23" s="18" t="str">
        <f aca="false">IF(A23="","",IF(D23="Yes","Completed",IF(A23&lt;Dashboard!$C$5,"Missed","Scheduled")))</f>
        <v/>
      </c>
      <c r="K23" s="10"/>
    </row>
    <row r="24" customFormat="false" ht="15" hidden="false" customHeight="false" outlineLevel="0" collapsed="false">
      <c r="A24" s="11"/>
      <c r="B24" s="10"/>
      <c r="C24" s="10"/>
      <c r="D24" s="24"/>
      <c r="E24" s="11"/>
      <c r="F24" s="22"/>
      <c r="G24" s="22"/>
      <c r="H24" s="26" t="str">
        <f aca="false">IF(OR(F24="",G24="",F24=0),"",G24/F24)</f>
        <v/>
      </c>
      <c r="I24" s="31"/>
      <c r="J24" s="18" t="str">
        <f aca="false">IF(A24="","",IF(D24="Yes","Completed",IF(A24&lt;Dashboard!$C$5,"Missed","Scheduled")))</f>
        <v/>
      </c>
      <c r="K24" s="10"/>
    </row>
    <row r="25" customFormat="false" ht="15" hidden="false" customHeight="false" outlineLevel="0" collapsed="false">
      <c r="A25" s="11"/>
      <c r="B25" s="10"/>
      <c r="C25" s="10"/>
      <c r="D25" s="24"/>
      <c r="E25" s="11"/>
      <c r="F25" s="22"/>
      <c r="G25" s="22"/>
      <c r="H25" s="26" t="str">
        <f aca="false">IF(OR(F25="",G25="",F25=0),"",G25/F25)</f>
        <v/>
      </c>
      <c r="I25" s="31"/>
      <c r="J25" s="18" t="str">
        <f aca="false">IF(A25="","",IF(D25="Yes","Completed",IF(A25&lt;Dashboard!$C$5,"Missed","Scheduled")))</f>
        <v/>
      </c>
      <c r="K25" s="10"/>
    </row>
    <row r="26" customFormat="false" ht="15" hidden="false" customHeight="false" outlineLevel="0" collapsed="false">
      <c r="A26" s="11"/>
      <c r="B26" s="10"/>
      <c r="C26" s="10"/>
      <c r="D26" s="24"/>
      <c r="E26" s="11"/>
      <c r="F26" s="22"/>
      <c r="G26" s="22"/>
      <c r="H26" s="26" t="str">
        <f aca="false">IF(OR(F26="",G26="",F26=0),"",G26/F26)</f>
        <v/>
      </c>
      <c r="I26" s="31"/>
      <c r="J26" s="18" t="str">
        <f aca="false">IF(A26="","",IF(D26="Yes","Completed",IF(A26&lt;Dashboard!$C$5,"Missed","Scheduled")))</f>
        <v/>
      </c>
      <c r="K26" s="10"/>
    </row>
    <row r="27" customFormat="false" ht="15" hidden="false" customHeight="false" outlineLevel="0" collapsed="false">
      <c r="A27" s="11"/>
      <c r="B27" s="10"/>
      <c r="C27" s="10"/>
      <c r="D27" s="24"/>
      <c r="E27" s="11"/>
      <c r="F27" s="22"/>
      <c r="G27" s="22"/>
      <c r="H27" s="26" t="str">
        <f aca="false">IF(OR(F27="",G27="",F27=0),"",G27/F27)</f>
        <v/>
      </c>
      <c r="I27" s="31"/>
      <c r="J27" s="18" t="str">
        <f aca="false">IF(A27="","",IF(D27="Yes","Completed",IF(A27&lt;Dashboard!$C$5,"Missed","Scheduled")))</f>
        <v/>
      </c>
      <c r="K27" s="10"/>
    </row>
    <row r="28" customFormat="false" ht="15" hidden="false" customHeight="false" outlineLevel="0" collapsed="false">
      <c r="A28" s="11"/>
      <c r="B28" s="10"/>
      <c r="C28" s="10"/>
      <c r="D28" s="24"/>
      <c r="E28" s="11"/>
      <c r="F28" s="22"/>
      <c r="G28" s="22"/>
      <c r="H28" s="26" t="str">
        <f aca="false">IF(OR(F28="",G28="",F28=0),"",G28/F28)</f>
        <v/>
      </c>
      <c r="I28" s="31"/>
      <c r="J28" s="18" t="str">
        <f aca="false">IF(A28="","",IF(D28="Yes","Completed",IF(A28&lt;Dashboard!$C$5,"Missed","Scheduled")))</f>
        <v/>
      </c>
      <c r="K28" s="10"/>
    </row>
    <row r="29" customFormat="false" ht="15" hidden="false" customHeight="false" outlineLevel="0" collapsed="false">
      <c r="A29" s="11"/>
      <c r="B29" s="10"/>
      <c r="C29" s="10"/>
      <c r="D29" s="24"/>
      <c r="E29" s="11"/>
      <c r="F29" s="22"/>
      <c r="G29" s="22"/>
      <c r="H29" s="26" t="str">
        <f aca="false">IF(OR(F29="",G29="",F29=0),"",G29/F29)</f>
        <v/>
      </c>
      <c r="I29" s="31"/>
      <c r="J29" s="18" t="str">
        <f aca="false">IF(A29="","",IF(D29="Yes","Completed",IF(A29&lt;Dashboard!$C$5,"Missed","Scheduled")))</f>
        <v/>
      </c>
      <c r="K29" s="10"/>
    </row>
    <row r="30" customFormat="false" ht="15" hidden="false" customHeight="false" outlineLevel="0" collapsed="false">
      <c r="A30" s="11"/>
      <c r="B30" s="10"/>
      <c r="C30" s="10"/>
      <c r="D30" s="24"/>
      <c r="E30" s="11"/>
      <c r="F30" s="22"/>
      <c r="G30" s="22"/>
      <c r="H30" s="26" t="str">
        <f aca="false">IF(OR(F30="",G30="",F30=0),"",G30/F30)</f>
        <v/>
      </c>
      <c r="I30" s="31"/>
      <c r="J30" s="18" t="str">
        <f aca="false">IF(A30="","",IF(D30="Yes","Completed",IF(A30&lt;Dashboard!$C$5,"Missed","Scheduled")))</f>
        <v/>
      </c>
      <c r="K30" s="10"/>
    </row>
    <row r="31" customFormat="false" ht="15" hidden="false" customHeight="false" outlineLevel="0" collapsed="false">
      <c r="A31" s="11"/>
      <c r="B31" s="10"/>
      <c r="C31" s="10"/>
      <c r="D31" s="24"/>
      <c r="E31" s="11"/>
      <c r="F31" s="22"/>
      <c r="G31" s="22"/>
      <c r="H31" s="26" t="str">
        <f aca="false">IF(OR(F31="",G31="",F31=0),"",G31/F31)</f>
        <v/>
      </c>
      <c r="I31" s="31"/>
      <c r="J31" s="18" t="str">
        <f aca="false">IF(A31="","",IF(D31="Yes","Completed",IF(A31&lt;Dashboard!$C$5,"Missed","Scheduled")))</f>
        <v/>
      </c>
      <c r="K31" s="10"/>
    </row>
    <row r="32" customFormat="false" ht="15" hidden="false" customHeight="false" outlineLevel="0" collapsed="false">
      <c r="A32" s="11"/>
      <c r="B32" s="10"/>
      <c r="C32" s="10"/>
      <c r="D32" s="24"/>
      <c r="E32" s="11"/>
      <c r="F32" s="22"/>
      <c r="G32" s="22"/>
      <c r="H32" s="26" t="str">
        <f aca="false">IF(OR(F32="",G32="",F32=0),"",G32/F32)</f>
        <v/>
      </c>
      <c r="I32" s="31"/>
      <c r="J32" s="18" t="str">
        <f aca="false">IF(A32="","",IF(D32="Yes","Completed",IF(A32&lt;Dashboard!$C$5,"Missed","Scheduled")))</f>
        <v/>
      </c>
      <c r="K32" s="10"/>
    </row>
    <row r="33" customFormat="false" ht="15" hidden="false" customHeight="false" outlineLevel="0" collapsed="false">
      <c r="A33" s="11"/>
      <c r="B33" s="10"/>
      <c r="C33" s="10"/>
      <c r="D33" s="24"/>
      <c r="E33" s="11"/>
      <c r="F33" s="22"/>
      <c r="G33" s="22"/>
      <c r="H33" s="26" t="str">
        <f aca="false">IF(OR(F33="",G33="",F33=0),"",G33/F33)</f>
        <v/>
      </c>
      <c r="I33" s="31"/>
      <c r="J33" s="18" t="str">
        <f aca="false">IF(A33="","",IF(D33="Yes","Completed",IF(A33&lt;Dashboard!$C$5,"Missed","Scheduled")))</f>
        <v/>
      </c>
      <c r="K33" s="10"/>
    </row>
    <row r="34" customFormat="false" ht="15" hidden="false" customHeight="false" outlineLevel="0" collapsed="false">
      <c r="A34" s="11"/>
      <c r="B34" s="10"/>
      <c r="C34" s="10"/>
      <c r="D34" s="24"/>
      <c r="E34" s="11"/>
      <c r="F34" s="22"/>
      <c r="G34" s="22"/>
      <c r="H34" s="26" t="str">
        <f aca="false">IF(OR(F34="",G34="",F34=0),"",G34/F34)</f>
        <v/>
      </c>
      <c r="I34" s="31"/>
      <c r="J34" s="18" t="str">
        <f aca="false">IF(A34="","",IF(D34="Yes","Completed",IF(A34&lt;Dashboard!$C$5,"Missed","Scheduled")))</f>
        <v/>
      </c>
      <c r="K34" s="10"/>
    </row>
  </sheetData>
  <conditionalFormatting sqref="J5:J3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"Missed"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5:B34" type="list">
      <formula1>Lists!$M$2:$M$6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3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456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457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12" t="s">
        <v>458</v>
      </c>
      <c r="B4" s="12" t="s">
        <v>459</v>
      </c>
      <c r="C4" s="12" t="s">
        <v>460</v>
      </c>
      <c r="D4" s="12" t="s">
        <v>461</v>
      </c>
      <c r="E4" s="12" t="s">
        <v>462</v>
      </c>
      <c r="F4" s="12" t="s">
        <v>463</v>
      </c>
      <c r="G4" s="12" t="s">
        <v>464</v>
      </c>
      <c r="H4" s="12" t="s">
        <v>465</v>
      </c>
    </row>
    <row r="5" customFormat="false" ht="15" hidden="false" customHeight="false" outlineLevel="0" collapsed="false">
      <c r="A5" s="14" t="s">
        <v>466</v>
      </c>
      <c r="B5" s="24" t="s">
        <v>467</v>
      </c>
      <c r="C5" s="24" t="s">
        <v>468</v>
      </c>
      <c r="D5" s="24" t="s">
        <v>469</v>
      </c>
      <c r="E5" s="24" t="s">
        <v>469</v>
      </c>
      <c r="F5" s="24" t="s">
        <v>470</v>
      </c>
      <c r="G5" s="21" t="n">
        <f aca="false">COUNTIF(B5:F5,"A*")</f>
        <v>1</v>
      </c>
      <c r="H5" s="18" t="str">
        <f aca="false">IF(G5=0,"No accountable owner",IF(G5&gt;1,"Multiple accountable – confirm",IF(COUNTIF(B5:F5,"*R")=0,"No responsible role","OK")))</f>
        <v>OK</v>
      </c>
    </row>
    <row r="6" customFormat="false" ht="15" hidden="false" customHeight="false" outlineLevel="0" collapsed="false">
      <c r="A6" s="14" t="s">
        <v>471</v>
      </c>
      <c r="B6" s="24" t="s">
        <v>470</v>
      </c>
      <c r="C6" s="24" t="s">
        <v>472</v>
      </c>
      <c r="D6" s="24" t="s">
        <v>469</v>
      </c>
      <c r="E6" s="24" t="s">
        <v>468</v>
      </c>
      <c r="F6" s="24" t="s">
        <v>469</v>
      </c>
      <c r="G6" s="21" t="n">
        <f aca="false">COUNTIF(B6:F6,"A*")</f>
        <v>1</v>
      </c>
      <c r="H6" s="18" t="str">
        <f aca="false">IF(G6=0,"No accountable owner",IF(G6&gt;1,"Multiple accountable – confirm",IF(COUNTIF(B6:F6,"*R")=0,"No responsible role","OK")))</f>
        <v>OK</v>
      </c>
    </row>
    <row r="7" customFormat="false" ht="15" hidden="false" customHeight="false" outlineLevel="0" collapsed="false">
      <c r="A7" s="14" t="s">
        <v>473</v>
      </c>
      <c r="B7" s="24" t="s">
        <v>470</v>
      </c>
      <c r="C7" s="24" t="s">
        <v>469</v>
      </c>
      <c r="D7" s="24" t="s">
        <v>472</v>
      </c>
      <c r="E7" s="24" t="s">
        <v>469</v>
      </c>
      <c r="F7" s="24" t="s">
        <v>470</v>
      </c>
      <c r="G7" s="21" t="n">
        <f aca="false">COUNTIF(B7:F7,"A*")</f>
        <v>1</v>
      </c>
      <c r="H7" s="18" t="str">
        <f aca="false">IF(G7=0,"No accountable owner",IF(G7&gt;1,"Multiple accountable – confirm",IF(COUNTIF(B7:F7,"*R")=0,"No responsible role","OK")))</f>
        <v>OK</v>
      </c>
    </row>
    <row r="8" customFormat="false" ht="15" hidden="false" customHeight="false" outlineLevel="0" collapsed="false">
      <c r="A8" s="14" t="s">
        <v>474</v>
      </c>
      <c r="B8" s="24" t="s">
        <v>470</v>
      </c>
      <c r="C8" s="24" t="s">
        <v>469</v>
      </c>
      <c r="D8" s="24" t="s">
        <v>469</v>
      </c>
      <c r="E8" s="24" t="s">
        <v>472</v>
      </c>
      <c r="F8" s="24" t="s">
        <v>470</v>
      </c>
      <c r="G8" s="21" t="n">
        <f aca="false">COUNTIF(B8:F8,"A*")</f>
        <v>1</v>
      </c>
      <c r="H8" s="18" t="str">
        <f aca="false">IF(G8=0,"No accountable owner",IF(G8&gt;1,"Multiple accountable – confirm",IF(COUNTIF(B8:F8,"*R")=0,"No responsible role","OK")))</f>
        <v>OK</v>
      </c>
    </row>
    <row r="9" customFormat="false" ht="15" hidden="false" customHeight="false" outlineLevel="0" collapsed="false">
      <c r="A9" s="14" t="s">
        <v>475</v>
      </c>
      <c r="B9" s="24" t="s">
        <v>470</v>
      </c>
      <c r="C9" s="24" t="s">
        <v>467</v>
      </c>
      <c r="D9" s="24" t="s">
        <v>468</v>
      </c>
      <c r="E9" s="24" t="s">
        <v>469</v>
      </c>
      <c r="F9" s="24" t="s">
        <v>469</v>
      </c>
      <c r="G9" s="21" t="n">
        <f aca="false">COUNTIF(B9:F9,"A*")</f>
        <v>1</v>
      </c>
      <c r="H9" s="18" t="str">
        <f aca="false">IF(G9=0,"No accountable owner",IF(G9&gt;1,"Multiple accountable – confirm",IF(COUNTIF(B9:F9,"*R")=0,"No responsible role","OK")))</f>
        <v>OK</v>
      </c>
    </row>
    <row r="10" customFormat="false" ht="15" hidden="false" customHeight="false" outlineLevel="0" collapsed="false">
      <c r="A10" s="14" t="s">
        <v>476</v>
      </c>
      <c r="B10" s="24" t="s">
        <v>470</v>
      </c>
      <c r="C10" s="24" t="s">
        <v>472</v>
      </c>
      <c r="D10" s="24" t="s">
        <v>469</v>
      </c>
      <c r="E10" s="24" t="s">
        <v>468</v>
      </c>
      <c r="F10" s="24" t="s">
        <v>469</v>
      </c>
      <c r="G10" s="21" t="n">
        <f aca="false">COUNTIF(B10:F10,"A*")</f>
        <v>1</v>
      </c>
      <c r="H10" s="18" t="str">
        <f aca="false">IF(G10=0,"No accountable owner",IF(G10&gt;1,"Multiple accountable – confirm",IF(COUNTIF(B10:F10,"*R")=0,"No responsible role","OK")))</f>
        <v>OK</v>
      </c>
    </row>
    <row r="11" customFormat="false" ht="15" hidden="false" customHeight="false" outlineLevel="0" collapsed="false">
      <c r="A11" s="14" t="s">
        <v>477</v>
      </c>
      <c r="B11" s="24" t="s">
        <v>470</v>
      </c>
      <c r="C11" s="24" t="s">
        <v>467</v>
      </c>
      <c r="D11" s="24" t="s">
        <v>468</v>
      </c>
      <c r="E11" s="24" t="s">
        <v>468</v>
      </c>
      <c r="F11" s="24" t="s">
        <v>468</v>
      </c>
      <c r="G11" s="21" t="n">
        <f aca="false">COUNTIF(B11:F11,"A*")</f>
        <v>1</v>
      </c>
      <c r="H11" s="18" t="str">
        <f aca="false">IF(G11=0,"No accountable owner",IF(G11&gt;1,"Multiple accountable – confirm",IF(COUNTIF(B11:F11,"*R")=0,"No responsible role","OK")))</f>
        <v>OK</v>
      </c>
    </row>
    <row r="12" customFormat="false" ht="15" hidden="false" customHeight="false" outlineLevel="0" collapsed="false">
      <c r="A12" s="14" t="s">
        <v>478</v>
      </c>
      <c r="B12" s="24" t="s">
        <v>470</v>
      </c>
      <c r="C12" s="24" t="s">
        <v>472</v>
      </c>
      <c r="D12" s="24" t="s">
        <v>468</v>
      </c>
      <c r="E12" s="24" t="s">
        <v>468</v>
      </c>
      <c r="F12" s="24" t="s">
        <v>469</v>
      </c>
      <c r="G12" s="21" t="n">
        <f aca="false">COUNTIF(B12:F12,"A*")</f>
        <v>1</v>
      </c>
      <c r="H12" s="18" t="str">
        <f aca="false">IF(G12=0,"No accountable owner",IF(G12&gt;1,"Multiple accountable – confirm",IF(COUNTIF(B12:F12,"*R")=0,"No responsible role","OK")))</f>
        <v>OK</v>
      </c>
    </row>
    <row r="13" customFormat="false" ht="26.85" hidden="false" customHeight="false" outlineLevel="0" collapsed="false">
      <c r="A13" s="14" t="s">
        <v>479</v>
      </c>
      <c r="B13" s="24" t="s">
        <v>467</v>
      </c>
      <c r="C13" s="24" t="s">
        <v>468</v>
      </c>
      <c r="D13" s="24" t="s">
        <v>469</v>
      </c>
      <c r="E13" s="24" t="s">
        <v>469</v>
      </c>
      <c r="F13" s="24" t="s">
        <v>469</v>
      </c>
      <c r="G13" s="21" t="n">
        <f aca="false">COUNTIF(B13:F13,"A*")</f>
        <v>1</v>
      </c>
      <c r="H13" s="18" t="str">
        <f aca="false">IF(G13=0,"No accountable owner",IF(G13&gt;1,"Multiple accountable – confirm",IF(COUNTIF(B13:F13,"*R")=0,"No responsible role","OK")))</f>
        <v>OK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3" t="s">
        <v>480</v>
      </c>
      <c r="B15" s="2"/>
      <c r="C15" s="2"/>
      <c r="D15" s="2"/>
      <c r="E15" s="2"/>
      <c r="F15" s="2"/>
      <c r="G15" s="2"/>
      <c r="H15" s="2"/>
    </row>
  </sheetData>
  <conditionalFormatting sqref="B5:F13">
    <cfRule type="cellIs" priority="2" operator="equal" aboveAverage="0" equalAverage="0" bottom="0" percent="0" rank="0" text="" dxfId="4">
      <formula>"R"</formula>
    </cfRule>
    <cfRule type="cellIs" priority="3" operator="equal" aboveAverage="0" equalAverage="0" bottom="0" percent="0" rank="0" text="" dxfId="2">
      <formula>"A"</formula>
    </cfRule>
    <cfRule type="cellIs" priority="4" operator="equal" aboveAverage="0" equalAverage="0" bottom="0" percent="0" rank="0" text="" dxfId="2">
      <formula>"A/R"</formula>
    </cfRule>
    <cfRule type="cellIs" priority="5" operator="equal" aboveAverage="0" equalAverage="0" bottom="0" percent="0" rank="0" text="" dxfId="1">
      <formula>"C"</formula>
    </cfRule>
    <cfRule type="cellIs" priority="6" operator="equal" aboveAverage="0" equalAverage="0" bottom="0" percent="0" rank="0" text="" dxfId="5">
      <formula>"I"</formula>
    </cfRule>
  </conditionalFormatting>
  <conditionalFormatting sqref="H5:H13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1">
      <formula>"Multiple accountable – confirm"</formula>
    </cfRule>
    <cfRule type="cellIs" priority="9" operator="equal" aboveAverage="0" equalAverage="0" bottom="0" percent="0" rank="0" text="" dxfId="2">
      <formula>"No accountable owner"</formula>
    </cfRule>
    <cfRule type="cellIs" priority="10" operator="equal" aboveAverage="0" equalAverage="0" bottom="0" percent="0" rank="0" text="" dxfId="2">
      <formula>"No responsible role"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B5:F13" type="list">
      <formula1>Lists!$N$2:$N$6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6"/>
    <col collapsed="false" customWidth="true" hidden="false" outlineLevel="0" max="17" min="17" style="0" width="34"/>
  </cols>
  <sheetData>
    <row r="1" customFormat="false" ht="30" hidden="false" customHeight="true" outlineLevel="0" collapsed="false">
      <c r="A1" s="12" t="s">
        <v>481</v>
      </c>
      <c r="B1" s="12" t="s">
        <v>482</v>
      </c>
      <c r="C1" s="12" t="s">
        <v>365</v>
      </c>
      <c r="D1" s="12" t="s">
        <v>116</v>
      </c>
      <c r="E1" s="12" t="s">
        <v>100</v>
      </c>
      <c r="F1" s="12" t="s">
        <v>258</v>
      </c>
      <c r="G1" s="12" t="s">
        <v>483</v>
      </c>
      <c r="H1" s="12" t="s">
        <v>484</v>
      </c>
      <c r="I1" s="12" t="s">
        <v>485</v>
      </c>
      <c r="J1" s="12" t="s">
        <v>236</v>
      </c>
      <c r="K1" s="12" t="s">
        <v>486</v>
      </c>
      <c r="L1" s="12" t="s">
        <v>487</v>
      </c>
      <c r="M1" s="12" t="s">
        <v>444</v>
      </c>
      <c r="N1" s="12" t="s">
        <v>488</v>
      </c>
      <c r="O1" s="12" t="s">
        <v>489</v>
      </c>
      <c r="P1" s="2"/>
      <c r="Q1" s="12" t="s">
        <v>490</v>
      </c>
      <c r="R1" s="12" t="s">
        <v>491</v>
      </c>
    </row>
    <row r="2" customFormat="false" ht="26.85" hidden="false" customHeight="false" outlineLevel="0" collapsed="false">
      <c r="A2" s="6" t="s">
        <v>209</v>
      </c>
      <c r="B2" s="6" t="s">
        <v>209</v>
      </c>
      <c r="C2" s="6" t="s">
        <v>191</v>
      </c>
      <c r="D2" s="6" t="s">
        <v>244</v>
      </c>
      <c r="E2" s="6" t="s">
        <v>102</v>
      </c>
      <c r="F2" s="6" t="s">
        <v>492</v>
      </c>
      <c r="G2" s="6" t="s">
        <v>304</v>
      </c>
      <c r="H2" s="6" t="s">
        <v>459</v>
      </c>
      <c r="I2" s="6" t="s">
        <v>493</v>
      </c>
      <c r="J2" s="6" t="s">
        <v>245</v>
      </c>
      <c r="K2" s="6" t="s">
        <v>341</v>
      </c>
      <c r="L2" s="6" t="s">
        <v>368</v>
      </c>
      <c r="M2" s="6" t="s">
        <v>452</v>
      </c>
      <c r="N2" s="6" t="s">
        <v>468</v>
      </c>
      <c r="O2" s="6" t="n">
        <v>1</v>
      </c>
      <c r="P2" s="2"/>
      <c r="Q2" s="6" t="s">
        <v>494</v>
      </c>
      <c r="R2" s="10" t="n">
        <v>4</v>
      </c>
    </row>
    <row r="3" customFormat="false" ht="26.85" hidden="false" customHeight="false" outlineLevel="0" collapsed="false">
      <c r="A3" s="6" t="s">
        <v>195</v>
      </c>
      <c r="B3" s="6" t="s">
        <v>195</v>
      </c>
      <c r="C3" s="6" t="s">
        <v>194</v>
      </c>
      <c r="D3" s="6" t="s">
        <v>133</v>
      </c>
      <c r="E3" s="6" t="s">
        <v>103</v>
      </c>
      <c r="F3" s="6" t="s">
        <v>282</v>
      </c>
      <c r="G3" s="6" t="s">
        <v>306</v>
      </c>
      <c r="H3" s="6" t="s">
        <v>182</v>
      </c>
      <c r="I3" s="6" t="s">
        <v>495</v>
      </c>
      <c r="J3" s="6" t="s">
        <v>248</v>
      </c>
      <c r="K3" s="6" t="s">
        <v>345</v>
      </c>
      <c r="L3" s="6" t="s">
        <v>377</v>
      </c>
      <c r="M3" s="6" t="s">
        <v>454</v>
      </c>
      <c r="N3" s="6" t="s">
        <v>467</v>
      </c>
      <c r="O3" s="6" t="n">
        <v>2</v>
      </c>
      <c r="P3" s="2"/>
      <c r="Q3" s="6" t="s">
        <v>496</v>
      </c>
      <c r="R3" s="10" t="n">
        <v>9</v>
      </c>
    </row>
    <row r="4" customFormat="false" ht="26.85" hidden="false" customHeight="false" outlineLevel="0" collapsed="false">
      <c r="A4" s="2"/>
      <c r="B4" s="6" t="s">
        <v>202</v>
      </c>
      <c r="C4" s="6" t="s">
        <v>202</v>
      </c>
      <c r="D4" s="6" t="s">
        <v>151</v>
      </c>
      <c r="E4" s="6" t="s">
        <v>104</v>
      </c>
      <c r="F4" s="6" t="s">
        <v>269</v>
      </c>
      <c r="G4" s="6" t="s">
        <v>497</v>
      </c>
      <c r="H4" s="6" t="s">
        <v>155</v>
      </c>
      <c r="I4" s="6" t="s">
        <v>498</v>
      </c>
      <c r="J4" s="6" t="s">
        <v>103</v>
      </c>
      <c r="K4" s="6" t="s">
        <v>349</v>
      </c>
      <c r="L4" s="6" t="s">
        <v>499</v>
      </c>
      <c r="M4" s="6" t="s">
        <v>500</v>
      </c>
      <c r="N4" s="6" t="s">
        <v>469</v>
      </c>
      <c r="O4" s="6" t="n">
        <v>3</v>
      </c>
      <c r="P4" s="2"/>
      <c r="Q4" s="6" t="s">
        <v>501</v>
      </c>
      <c r="R4" s="10" t="n">
        <v>14</v>
      </c>
    </row>
    <row r="5" customFormat="false" ht="26.85" hidden="false" customHeight="false" outlineLevel="0" collapsed="false">
      <c r="A5" s="2"/>
      <c r="B5" s="2"/>
      <c r="C5" s="2"/>
      <c r="D5" s="6" t="s">
        <v>157</v>
      </c>
      <c r="E5" s="6" t="s">
        <v>105</v>
      </c>
      <c r="F5" s="6" t="s">
        <v>273</v>
      </c>
      <c r="G5" s="6" t="s">
        <v>216</v>
      </c>
      <c r="H5" s="6" t="s">
        <v>137</v>
      </c>
      <c r="I5" s="6" t="s">
        <v>435</v>
      </c>
      <c r="J5" s="6" t="s">
        <v>145</v>
      </c>
      <c r="K5" s="6" t="s">
        <v>502</v>
      </c>
      <c r="L5" s="6" t="s">
        <v>503</v>
      </c>
      <c r="M5" s="6" t="s">
        <v>455</v>
      </c>
      <c r="N5" s="6" t="s">
        <v>470</v>
      </c>
      <c r="O5" s="6" t="n">
        <v>4</v>
      </c>
      <c r="P5" s="2"/>
      <c r="Q5" s="6" t="s">
        <v>504</v>
      </c>
      <c r="R5" s="10" t="n">
        <v>14</v>
      </c>
    </row>
    <row r="6" customFormat="false" ht="39.55" hidden="false" customHeight="false" outlineLevel="0" collapsed="false">
      <c r="A6" s="2"/>
      <c r="B6" s="2"/>
      <c r="C6" s="2"/>
      <c r="D6" s="6" t="s">
        <v>139</v>
      </c>
      <c r="E6" s="6" t="s">
        <v>106</v>
      </c>
      <c r="F6" s="2"/>
      <c r="G6" s="6" t="s">
        <v>310</v>
      </c>
      <c r="H6" s="6" t="s">
        <v>249</v>
      </c>
      <c r="I6" s="6" t="s">
        <v>438</v>
      </c>
      <c r="J6" s="6" t="s">
        <v>247</v>
      </c>
      <c r="K6" s="6" t="s">
        <v>505</v>
      </c>
      <c r="L6" s="6" t="s">
        <v>506</v>
      </c>
      <c r="M6" s="6" t="s">
        <v>507</v>
      </c>
      <c r="N6" s="6" t="s">
        <v>472</v>
      </c>
      <c r="O6" s="6" t="n">
        <v>5</v>
      </c>
      <c r="P6" s="2"/>
      <c r="Q6" s="6" t="s">
        <v>508</v>
      </c>
      <c r="R6" s="10" t="n">
        <v>30</v>
      </c>
    </row>
    <row r="7" customFormat="false" ht="15" hidden="false" customHeight="false" outlineLevel="0" collapsed="false">
      <c r="A7" s="2"/>
      <c r="B7" s="2"/>
      <c r="C7" s="2"/>
      <c r="D7" s="6" t="s">
        <v>145</v>
      </c>
      <c r="E7" s="6" t="s">
        <v>107</v>
      </c>
      <c r="F7" s="2"/>
      <c r="G7" s="6" t="s">
        <v>314</v>
      </c>
      <c r="H7" s="6" t="s">
        <v>143</v>
      </c>
      <c r="I7" s="6" t="s">
        <v>509</v>
      </c>
      <c r="J7" s="6" t="s">
        <v>510</v>
      </c>
      <c r="K7" s="6" t="s">
        <v>511</v>
      </c>
      <c r="L7" s="2"/>
      <c r="M7" s="2"/>
      <c r="N7" s="2"/>
      <c r="O7" s="2"/>
      <c r="P7" s="2"/>
      <c r="Q7" s="2"/>
      <c r="R7" s="2"/>
    </row>
    <row r="8" customFormat="false" ht="26.85" hidden="false" customHeight="false" outlineLevel="0" collapsed="false">
      <c r="A8" s="2"/>
      <c r="B8" s="2"/>
      <c r="C8" s="2"/>
      <c r="D8" s="6" t="s">
        <v>287</v>
      </c>
      <c r="E8" s="6" t="s">
        <v>108</v>
      </c>
      <c r="F8" s="2"/>
      <c r="G8" s="6" t="s">
        <v>318</v>
      </c>
      <c r="H8" s="6" t="s">
        <v>149</v>
      </c>
      <c r="I8" s="6" t="s">
        <v>432</v>
      </c>
      <c r="J8" s="6" t="s">
        <v>512</v>
      </c>
      <c r="K8" s="2"/>
      <c r="L8" s="2"/>
      <c r="M8" s="2"/>
      <c r="N8" s="2"/>
      <c r="O8" s="2"/>
      <c r="P8" s="2"/>
      <c r="Q8" s="2"/>
      <c r="R8" s="2"/>
    </row>
    <row r="9" customFormat="false" ht="26.85" hidden="false" customHeight="false" outlineLevel="0" collapsed="false">
      <c r="A9" s="2"/>
      <c r="B9" s="2"/>
      <c r="C9" s="2"/>
      <c r="D9" s="6" t="s">
        <v>513</v>
      </c>
      <c r="E9" s="6" t="s">
        <v>109</v>
      </c>
      <c r="F9" s="2"/>
      <c r="G9" s="6" t="s">
        <v>320</v>
      </c>
      <c r="H9" s="6" t="s">
        <v>285</v>
      </c>
      <c r="I9" s="6" t="s">
        <v>429</v>
      </c>
      <c r="J9" s="6" t="s">
        <v>514</v>
      </c>
      <c r="K9" s="2"/>
      <c r="L9" s="2"/>
      <c r="M9" s="2"/>
      <c r="N9" s="2"/>
      <c r="O9" s="2"/>
      <c r="P9" s="2"/>
      <c r="Q9" s="2"/>
      <c r="R9" s="2"/>
    </row>
    <row r="10" customFormat="false" ht="26.85" hidden="false" customHeight="false" outlineLevel="0" collapsed="false">
      <c r="A10" s="2"/>
      <c r="B10" s="2"/>
      <c r="C10" s="2"/>
      <c r="D10" s="6" t="s">
        <v>515</v>
      </c>
      <c r="E10" s="6" t="s">
        <v>110</v>
      </c>
      <c r="F10" s="2"/>
      <c r="G10" s="6" t="s">
        <v>516</v>
      </c>
      <c r="H10" s="6" t="s">
        <v>160</v>
      </c>
      <c r="I10" s="6" t="s">
        <v>442</v>
      </c>
      <c r="J10" s="6" t="s">
        <v>251</v>
      </c>
      <c r="K10" s="2"/>
      <c r="L10" s="2"/>
      <c r="M10" s="2"/>
      <c r="N10" s="2"/>
      <c r="O10" s="2"/>
      <c r="P10" s="2"/>
      <c r="Q10" s="2"/>
      <c r="R10" s="2"/>
    </row>
    <row r="11" customFormat="false" ht="26.85" hidden="false" customHeight="false" outlineLevel="0" collapsed="false">
      <c r="A11" s="2"/>
      <c r="B11" s="2"/>
      <c r="C11" s="2"/>
      <c r="D11" s="6" t="s">
        <v>517</v>
      </c>
      <c r="E11" s="6" t="s">
        <v>111</v>
      </c>
      <c r="F11" s="2"/>
      <c r="G11" s="2"/>
      <c r="H11" s="6" t="s">
        <v>289</v>
      </c>
      <c r="I11" s="6" t="s">
        <v>518</v>
      </c>
      <c r="J11" s="2"/>
      <c r="K11" s="2"/>
      <c r="L11" s="2"/>
      <c r="M11" s="2"/>
      <c r="N11" s="2"/>
      <c r="O11" s="2"/>
      <c r="P11" s="2"/>
      <c r="Q11" s="2"/>
      <c r="R11" s="2"/>
    </row>
    <row r="12" customFormat="false" ht="26.85" hidden="false" customHeight="false" outlineLevel="0" collapsed="false">
      <c r="A12" s="2"/>
      <c r="B12" s="2"/>
      <c r="C12" s="2"/>
      <c r="D12" s="6" t="s">
        <v>519</v>
      </c>
      <c r="E12" s="2"/>
      <c r="F12" s="2"/>
      <c r="G12" s="2"/>
      <c r="H12" s="6" t="s">
        <v>520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6" t="s">
        <v>441</v>
      </c>
      <c r="I13" s="2"/>
      <c r="J13" s="2"/>
      <c r="K13" s="2"/>
      <c r="L13" s="2"/>
      <c r="M13" s="2"/>
      <c r="N13" s="2"/>
      <c r="O13" s="2"/>
      <c r="P13" s="2"/>
      <c r="Q13" s="2"/>
      <c r="R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2026-10-10T15:45:08Z</dcterms:created>
  <dc:creator>openpyxl</dc:creator>
  <dc:description/>
  <dc:language>en-US</dc:language>
  <cp:lastModifiedBy/>
  <dcterms:modified xsi:type="dcterms:W3CDTF">2026-10-10T15:45:11Z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