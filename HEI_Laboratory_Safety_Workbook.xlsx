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shboard" sheetId="2" state="visible" r:id="rId4"/>
    <sheet name="Pre-Lab Checklist" sheetId="3" state="visible" r:id="rId5"/>
    <sheet name="Risk Assessment" sheetId="4" state="visible" r:id="rId6"/>
    <sheet name="Inspection Checklist" sheetId="5" state="visible" r:id="rId7"/>
    <sheet name="Equipment Register" sheetId="6" state="visible" r:id="rId8"/>
    <sheet name="Emergency Equipment" sheetId="7" state="visible" r:id="rId9"/>
    <sheet name="PPE Availability" sheetId="8" state="visible" r:id="rId10"/>
    <sheet name="Training Records" sheetId="9" state="visible" r:id="rId11"/>
    <sheet name="Incident Log" sheetId="10" state="visible" r:id="rId12"/>
    <sheet name="Emergency Drills" sheetId="11" state="visible" r:id="rId13"/>
    <sheet name="Lis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Defaults to today. Overwrite with a fixed date to report as of that date.</t>
        </r>
      </text>
    </comment>
  </commentList>
</comments>
</file>

<file path=xl/sharedStrings.xml><?xml version="1.0" encoding="utf-8"?>
<sst xmlns="http://schemas.openxmlformats.org/spreadsheetml/2006/main" count="530" uniqueCount="378">
  <si>
    <t xml:space="preserve">Laboratory &amp; Workshop Safety – Monitoring Workbook</t>
  </si>
  <si>
    <t xml:space="preserve">Companion to the Laboratory and Workshop Emergency SOP (Laboratory Safety section)</t>
  </si>
  <si>
    <t xml:space="preserve">How to use</t>
  </si>
  <si>
    <t xml:space="preserve">Yellow cells, blue text</t>
  </si>
  <si>
    <t xml:space="preserve">Input cells – type or pick from the drop-down. Only edit these.</t>
  </si>
  <si>
    <t xml:space="preserve">Grey cells</t>
  </si>
  <si>
    <t xml:space="preserve">Auto-calculated formulas – do not overwrite.</t>
  </si>
  <si>
    <t xml:space="preserve">Green / amber / red</t>
  </si>
  <si>
    <t xml:space="preserve">Status highlighting applied automatically (Compliant / Due soon / Overdue etc.).</t>
  </si>
  <si>
    <t xml:space="preserve">Sample data</t>
  </si>
  <si>
    <t xml:space="preserve">Each register contains one example row and the checklists contain sample statuses so the Dashboard shows results. Overwrite or clear them before use.</t>
  </si>
  <si>
    <t xml:space="preserve">Report date</t>
  </si>
  <si>
    <t xml:space="preserve">Dashboard cell C5 defaults to TODAY(). Overwrite with a fixed date to report as of a past date.</t>
  </si>
  <si>
    <t xml:space="preserve">Parameters</t>
  </si>
  <si>
    <t xml:space="preserve">Risk-level thresholds and 'due soon' windows are on the Lists sheet (column N).</t>
  </si>
  <si>
    <t xml:space="preserve">Sheets</t>
  </si>
  <si>
    <t xml:space="preserve">Dashboard</t>
  </si>
  <si>
    <t xml:space="preserve">SOP Section 17 performance indicators with targets and automatic status, plus incident summary chart.</t>
  </si>
  <si>
    <t xml:space="preserve">Pre-Lab Checklist</t>
  </si>
  <si>
    <t xml:space="preserve">SOP Section 4, Steps 3–4: safety preparation and briefing. Gives READY / NOT READY decision.</t>
  </si>
  <si>
    <t xml:space="preserve">Risk Assessment</t>
  </si>
  <si>
    <t xml:space="preserve">SOP Section 4, Step 2: Hazard → Likelihood → Impact → Risk Level → Control Measures, with residual risk.</t>
  </si>
  <si>
    <t xml:space="preserve">Inspection Checklist</t>
  </si>
  <si>
    <t xml:space="preserve">SOP Section 16 periodic inspection with Safety Compliance Rate (Section 17 formula).</t>
  </si>
  <si>
    <t xml:space="preserve">Equipment Register</t>
  </si>
  <si>
    <t xml:space="preserve">SOP Sections 6 &amp; 18: equipment inspection register with next-due dates and defect tracking.</t>
  </si>
  <si>
    <t xml:space="preserve">Emergency Equipment</t>
  </si>
  <si>
    <t xml:space="preserve">SOP Section 11: emergency equipment test dates and readiness.</t>
  </si>
  <si>
    <t xml:space="preserve">PPE Availability</t>
  </si>
  <si>
    <t xml:space="preserve">SOP Section 5: PPE required vs available, by hazard.</t>
  </si>
  <si>
    <t xml:space="preserve">Training Records</t>
  </si>
  <si>
    <t xml:space="preserve">SOP Section 15: user training with expiry tracking.</t>
  </si>
  <si>
    <t xml:space="preserve">Incident Log</t>
  </si>
  <si>
    <t xml:space="preserve">SOP Section 14: incidents &amp; near misses with corrective/preventive action (CAPA) tracking.</t>
  </si>
  <si>
    <t xml:space="preserve">Emergency Drills</t>
  </si>
  <si>
    <t xml:space="preserve">Drill plan and completion with occupant accountability (Section 10 D).</t>
  </si>
  <si>
    <t xml:space="preserve">Lists</t>
  </si>
  <si>
    <t xml:space="preserve">Drop-down sources and adjustable parameters.</t>
  </si>
  <si>
    <t xml:space="preserve">Laboratory Safety Performance Dashboard</t>
  </si>
  <si>
    <t xml:space="preserve">SOP Section 17 – Performance indicators (auto-calculated from the registers)</t>
  </si>
  <si>
    <t xml:space="preserve">Laboratory / department</t>
  </si>
  <si>
    <t xml:space="preserve">Electrical Machines Lab, Dept. of EEE</t>
  </si>
  <si>
    <t xml:space="preserve">#</t>
  </si>
  <si>
    <t xml:space="preserve">Performance indicator</t>
  </si>
  <si>
    <t xml:space="preserve">Basis of calculation</t>
  </si>
  <si>
    <t xml:space="preserve">Actual</t>
  </si>
  <si>
    <t xml:space="preserve">Target</t>
  </si>
  <si>
    <t xml:space="preserve">Direction</t>
  </si>
  <si>
    <t xml:space="preserve">Status</t>
  </si>
  <si>
    <t xml:space="preserve">Safety compliance rate (inspection)</t>
  </si>
  <si>
    <t xml:space="preserve">Compliant ÷ assessed items – Inspection Checklist</t>
  </si>
  <si>
    <t xml:space="preserve">Higher is better</t>
  </si>
  <si>
    <t xml:space="preserve">Pre-lab safety readiness rate</t>
  </si>
  <si>
    <t xml:space="preserve">'Yes' ÷ answered items – Pre-Lab Checklist</t>
  </si>
  <si>
    <t xml:space="preserve">Users with current safety training</t>
  </si>
  <si>
    <t xml:space="preserve">Current ÷ training records</t>
  </si>
  <si>
    <t xml:space="preserve">Equipment inspection completion rate</t>
  </si>
  <si>
    <t xml:space="preserve">Current + due soon ÷ registered equipment</t>
  </si>
  <si>
    <t xml:space="preserve">Emergency-drill completion rate</t>
  </si>
  <si>
    <t xml:space="preserve">Completed ÷ drills due to date</t>
  </si>
  <si>
    <t xml:space="preserve">Number of safety incidents</t>
  </si>
  <si>
    <t xml:space="preserve">All logged events except near misses</t>
  </si>
  <si>
    <t xml:space="preserve">Lower is better</t>
  </si>
  <si>
    <t xml:space="preserve">Number of near misses reported</t>
  </si>
  <si>
    <t xml:space="preserve">Near misses logged (higher = healthy reporting)</t>
  </si>
  <si>
    <t xml:space="preserve">Corrective-action closure rate</t>
  </si>
  <si>
    <t xml:space="preserve">Closed CAPAs ÷ logged events</t>
  </si>
  <si>
    <t xml:space="preserve">PPE availability rate</t>
  </si>
  <si>
    <t xml:space="preserve">Available ÷ required quantity – PPE Availability</t>
  </si>
  <si>
    <t xml:space="preserve">Emergency-equipment readiness rate</t>
  </si>
  <si>
    <t xml:space="preserve">'Ready' ÷ listed emergency equipment</t>
  </si>
  <si>
    <t xml:space="preserve">Recurrence rate of safety incidents</t>
  </si>
  <si>
    <t xml:space="preserve">Repeat incidents ÷ logged events</t>
  </si>
  <si>
    <t xml:space="preserve">High / critical residual risks</t>
  </si>
  <si>
    <t xml:space="preserve">Risk Assessment – residual level High or Critical</t>
  </si>
  <si>
    <t xml:space="preserve">Targets (yellow) are suggested defaults – set them to your institution's approved targets.</t>
  </si>
  <si>
    <t xml:space="preserve">Items needing attention</t>
  </si>
  <si>
    <t xml:space="preserve">Source</t>
  </si>
  <si>
    <t xml:space="preserve">Count</t>
  </si>
  <si>
    <t xml:space="preserve">Open corrective actions</t>
  </si>
  <si>
    <t xml:space="preserve">Overdue corrective actions</t>
  </si>
  <si>
    <t xml:space="preserve">Equipment inspections overdue</t>
  </si>
  <si>
    <t xml:space="preserve">Equipment not cleared for use</t>
  </si>
  <si>
    <t xml:space="preserve">Emergency equipment not ready</t>
  </si>
  <si>
    <t xml:space="preserve">Training expired or expiring</t>
  </si>
  <si>
    <t xml:space="preserve">Non-compliant inspection items</t>
  </si>
  <si>
    <t xml:space="preserve">PPE items short or to replace</t>
  </si>
  <si>
    <t xml:space="preserve">Event type</t>
  </si>
  <si>
    <t xml:space="preserve">Near miss</t>
  </si>
  <si>
    <t xml:space="preserve">Injury</t>
  </si>
  <si>
    <t xml:space="preserve">Electrical accident</t>
  </si>
  <si>
    <t xml:space="preserve">Chemical spill</t>
  </si>
  <si>
    <t xml:space="preserve">Fire</t>
  </si>
  <si>
    <t xml:space="preserve">Gas leak</t>
  </si>
  <si>
    <t xml:space="preserve">Equipment failure</t>
  </si>
  <si>
    <t xml:space="preserve">Unsafe condition</t>
  </si>
  <si>
    <t xml:space="preserve">Pre-Laboratory Safety Checklist</t>
  </si>
  <si>
    <t xml:space="preserve">SOP Section 4 – complete before starting any experiment or workshop activity</t>
  </si>
  <si>
    <t xml:space="preserve">Laboratory / workshop</t>
  </si>
  <si>
    <t xml:space="preserve">Electrical Machines Lab</t>
  </si>
  <si>
    <t xml:space="preserve">Activity / experiment</t>
  </si>
  <si>
    <t xml:space="preserve">Load test on DC shunt motor</t>
  </si>
  <si>
    <t xml:space="preserve">Date</t>
  </si>
  <si>
    <t xml:space="preserve">Faculty / instructor</t>
  </si>
  <si>
    <t xml:space="preserve">Dr. A. Rao</t>
  </si>
  <si>
    <t xml:space="preserve">Check item</t>
  </si>
  <si>
    <t xml:space="preserve">Response</t>
  </si>
  <si>
    <t xml:space="preserve">Remarks / action taken</t>
  </si>
  <si>
    <t xml:space="preserve">Step 3 – Safety preparation</t>
  </si>
  <si>
    <t xml:space="preserve">Required PPE is available</t>
  </si>
  <si>
    <t xml:space="preserve">Yes</t>
  </si>
  <si>
    <t xml:space="preserve">Equipment is operational</t>
  </si>
  <si>
    <t xml:space="preserve">Emergency exits are accessible</t>
  </si>
  <si>
    <t xml:space="preserve">No</t>
  </si>
  <si>
    <t xml:space="preserve">First-aid kit refill requested</t>
  </si>
  <si>
    <t xml:space="preserve">First-aid facilities are available</t>
  </si>
  <si>
    <t xml:space="preserve">Fire-safety equipment is accessible</t>
  </si>
  <si>
    <t xml:space="preserve">Emergency contact information is displayed</t>
  </si>
  <si>
    <t xml:space="preserve">Required ventilation is functioning</t>
  </si>
  <si>
    <t xml:space="preserve">Safety instructions are available</t>
  </si>
  <si>
    <t xml:space="preserve">Step 4 – Safety briefing given on</t>
  </si>
  <si>
    <t xml:space="preserve">Experimental / workshop procedures</t>
  </si>
  <si>
    <t xml:space="preserve">Equipment operation</t>
  </si>
  <si>
    <t xml:space="preserve">Potential hazards</t>
  </si>
  <si>
    <t xml:space="preserve">Required PPE</t>
  </si>
  <si>
    <t xml:space="preserve">Emergency shutdown</t>
  </si>
  <si>
    <t xml:space="preserve">Emergency reporting</t>
  </si>
  <si>
    <t xml:space="preserve">Evacuation arrangements</t>
  </si>
  <si>
    <t xml:space="preserve">Items answered 'Yes'</t>
  </si>
  <si>
    <t xml:space="preserve">Items answered 'No'</t>
  </si>
  <si>
    <t xml:space="preserve">Items not applicable</t>
  </si>
  <si>
    <t xml:space="preserve">Items not yet answered</t>
  </si>
  <si>
    <t xml:space="preserve">Readiness rate</t>
  </si>
  <si>
    <t xml:space="preserve">Decision</t>
  </si>
  <si>
    <t xml:space="preserve">Laboratory Risk Assessment Register</t>
  </si>
  <si>
    <t xml:space="preserve">SOP Section 4 Step 2: Hazard → Likelihood → Impact → Risk Level → Control Measures</t>
  </si>
  <si>
    <t xml:space="preserve">Ref</t>
  </si>
  <si>
    <t xml:space="preserve">Activity / task</t>
  </si>
  <si>
    <t xml:space="preserve">Hazard category</t>
  </si>
  <si>
    <t xml:space="preserve">Hazard description</t>
  </si>
  <si>
    <t xml:space="preserve">Who may be harmed</t>
  </si>
  <si>
    <t xml:space="preserve">Likelihood (1-5)</t>
  </si>
  <si>
    <t xml:space="preserve">Impact (1-5)</t>
  </si>
  <si>
    <t xml:space="preserve">Risk score</t>
  </si>
  <si>
    <t xml:space="preserve">Risk level</t>
  </si>
  <si>
    <t xml:space="preserve">Control measures (engineering / administrative)</t>
  </si>
  <si>
    <t xml:space="preserve">Residual likelihood</t>
  </si>
  <si>
    <t xml:space="preserve">Residual impact</t>
  </si>
  <si>
    <t xml:space="preserve">Residual score</t>
  </si>
  <si>
    <t xml:space="preserve">Residual level</t>
  </si>
  <si>
    <t xml:space="preserve">Owner</t>
  </si>
  <si>
    <t xml:space="preserve">Review date</t>
  </si>
  <si>
    <t xml:space="preserve">Operating DC motor test bench</t>
  </si>
  <si>
    <t xml:space="preserve">Electrical systems</t>
  </si>
  <si>
    <t xml:space="preserve">Contact with live terminals during wiring changes</t>
  </si>
  <si>
    <t xml:space="preserve">Students, technician</t>
  </si>
  <si>
    <t xml:space="preserve">Isolate supply before rewiring; shrouded terminals; RCD protection; supervised operation</t>
  </si>
  <si>
    <t xml:space="preserve">Insulated gloves, safety footwear</t>
  </si>
  <si>
    <t xml:space="preserve">Lab In-Charge</t>
  </si>
  <si>
    <t xml:space="preserve">Scoring guide</t>
  </si>
  <si>
    <t xml:space="preserve">Score</t>
  </si>
  <si>
    <t xml:space="preserve">Likelihood</t>
  </si>
  <si>
    <t xml:space="preserve">Impact</t>
  </si>
  <si>
    <t xml:space="preserve">Rare</t>
  </si>
  <si>
    <t xml:space="preserve">Negligible – no injury</t>
  </si>
  <si>
    <t xml:space="preserve">Unlikely</t>
  </si>
  <si>
    <t xml:space="preserve">Minor – first aid</t>
  </si>
  <si>
    <t xml:space="preserve">Possible</t>
  </si>
  <si>
    <t xml:space="preserve">Moderate – medical treatment</t>
  </si>
  <si>
    <t xml:space="preserve">Likely</t>
  </si>
  <si>
    <t xml:space="preserve">Major – serious injury / major damage</t>
  </si>
  <si>
    <t xml:space="preserve">Almost certain</t>
  </si>
  <si>
    <t xml:space="preserve">Severe – fatality / permanent disability</t>
  </si>
  <si>
    <t xml:space="preserve">Risk matrix (Likelihood × Impact)</t>
  </si>
  <si>
    <t xml:space="preserve">Likelihood ↓ / Impact →</t>
  </si>
  <si>
    <t xml:space="preserve">Laboratory Safety Inspection Checklist</t>
  </si>
  <si>
    <t xml:space="preserve">SOP Section 16 – periodic inspection</t>
  </si>
  <si>
    <t xml:space="preserve">Inspection date</t>
  </si>
  <si>
    <t xml:space="preserve">Inspected by</t>
  </si>
  <si>
    <t xml:space="preserve">Safety Officer</t>
  </si>
  <si>
    <t xml:space="preserve">Inspection area</t>
  </si>
  <si>
    <t xml:space="preserve">Observations</t>
  </si>
  <si>
    <t xml:space="preserve">Action required</t>
  </si>
  <si>
    <t xml:space="preserve">Responsible person</t>
  </si>
  <si>
    <t xml:space="preserve">Target date</t>
  </si>
  <si>
    <t xml:space="preserve">Emergency exits accessible</t>
  </si>
  <si>
    <t xml:space="preserve">Compliant</t>
  </si>
  <si>
    <t xml:space="preserve">Fire equipment available/inspected</t>
  </si>
  <si>
    <t xml:space="preserve">First-aid facilities available</t>
  </si>
  <si>
    <t xml:space="preserve">Electrical systems safe</t>
  </si>
  <si>
    <t xml:space="preserve">Equipment operational</t>
  </si>
  <si>
    <t xml:space="preserve">Safety signage displayed</t>
  </si>
  <si>
    <t xml:space="preserve">PPE available</t>
  </si>
  <si>
    <t xml:space="preserve">Two pairs of safety goggles missing</t>
  </si>
  <si>
    <t xml:space="preserve">Replenish goggles stock</t>
  </si>
  <si>
    <t xml:space="preserve">Lab Technician</t>
  </si>
  <si>
    <t xml:space="preserve">Chemical storage appropriate</t>
  </si>
  <si>
    <t xml:space="preserve">Non-compliant</t>
  </si>
  <si>
    <t xml:space="preserve">Waste management satisfactory</t>
  </si>
  <si>
    <t xml:space="preserve">N/A</t>
  </si>
  <si>
    <t xml:space="preserve">Emergency contacts updated</t>
  </si>
  <si>
    <t xml:space="preserve">Safety training current</t>
  </si>
  <si>
    <t xml:space="preserve">Incident records maintained</t>
  </si>
  <si>
    <t xml:space="preserve">Not applicable</t>
  </si>
  <si>
    <t xml:space="preserve">Requirements assessed</t>
  </si>
  <si>
    <t xml:space="preserve">Safety Compliance Rate</t>
  </si>
  <si>
    <t xml:space="preserve">Formula: Compliant ÷ (Compliant + Non-compliant) × 100 (SOP Section 17)</t>
  </si>
  <si>
    <t xml:space="preserve">Equipment Inspection &amp; Maintenance Register</t>
  </si>
  <si>
    <t xml:space="preserve">SOP Sections 6 &amp; 18 – Equipment defect route: STOP → Isolate → Label/Report → Restrict use → Notify In-Charge → Repair/Inspection → Authorize reuse</t>
  </si>
  <si>
    <t xml:space="preserve">Asset ID</t>
  </si>
  <si>
    <t xml:space="preserve">Equipment</t>
  </si>
  <si>
    <t xml:space="preserve">Location</t>
  </si>
  <si>
    <t xml:space="preserve">Authorized users / competency</t>
  </si>
  <si>
    <t xml:space="preserve">Condition</t>
  </si>
  <si>
    <t xml:space="preserve">Last inspection</t>
  </si>
  <si>
    <t xml:space="preserve">Interval (days)</t>
  </si>
  <si>
    <t xml:space="preserve">Next due</t>
  </si>
  <si>
    <t xml:space="preserve">Days to due</t>
  </si>
  <si>
    <t xml:space="preserve">Inspection status</t>
  </si>
  <si>
    <t xml:space="preserve">Defect reported?</t>
  </si>
  <si>
    <t xml:space="preserve">Cleared for use?</t>
  </si>
  <si>
    <t xml:space="preserve">Remarks</t>
  </si>
  <si>
    <t xml:space="preserve">EQ-001</t>
  </si>
  <si>
    <t xml:space="preserve">DC shunt motor test bench</t>
  </si>
  <si>
    <t xml:space="preserve">Trained UG students (supervised)</t>
  </si>
  <si>
    <t xml:space="preserve">Good</t>
  </si>
  <si>
    <t xml:space="preserve">Guards and emergency stop verified</t>
  </si>
  <si>
    <t xml:space="preserve">Emergency Equipment Readiness Register</t>
  </si>
  <si>
    <t xml:space="preserve">SOP Section 11 – periodically inspected, tested, maintained and documented</t>
  </si>
  <si>
    <t xml:space="preserve">Emergency equipment</t>
  </si>
  <si>
    <t xml:space="preserve">Last inspected / tested</t>
  </si>
  <si>
    <t xml:space="preserve">Functional?</t>
  </si>
  <si>
    <t xml:space="preserve">Readiness status</t>
  </si>
  <si>
    <t xml:space="preserve">Checked by</t>
  </si>
  <si>
    <t xml:space="preserve">First-aid kit</t>
  </si>
  <si>
    <t xml:space="preserve">Fire-detection system</t>
  </si>
  <si>
    <t xml:space="preserve">Fire extinguishers</t>
  </si>
  <si>
    <t xml:space="preserve">Emergency alarm</t>
  </si>
  <si>
    <t xml:space="preserve">Emergency lighting</t>
  </si>
  <si>
    <t xml:space="preserve">Emergency-stop systems</t>
  </si>
  <si>
    <t xml:space="preserve">Spill-response materials</t>
  </si>
  <si>
    <t xml:space="preserve">Safety signage</t>
  </si>
  <si>
    <t xml:space="preserve">Emergency contact information</t>
  </si>
  <si>
    <t xml:space="preserve">PPE stock</t>
  </si>
  <si>
    <t xml:space="preserve">Eye/face protection &amp; emergency eyewash</t>
  </si>
  <si>
    <t xml:space="preserve">Eyewash bottle expired – replacement ordered</t>
  </si>
  <si>
    <t xml:space="preserve">Ventilation and extraction systems</t>
  </si>
  <si>
    <t xml:space="preserve">PPE Availability Register</t>
  </si>
  <si>
    <t xml:space="preserve">SOP Section 5 – PPE selected according to identified hazards</t>
  </si>
  <si>
    <t xml:space="preserve">Hazard</t>
  </si>
  <si>
    <t xml:space="preserve">PPE item</t>
  </si>
  <si>
    <t xml:space="preserve">Required qty</t>
  </si>
  <si>
    <t xml:space="preserve">Available qty</t>
  </si>
  <si>
    <t xml:space="preserve">Serviceable condition?</t>
  </si>
  <si>
    <t xml:space="preserve">Availability %</t>
  </si>
  <si>
    <t xml:space="preserve">Electrical work</t>
  </si>
  <si>
    <t xml:space="preserve">Insulated gloves / electrical safety equipment</t>
  </si>
  <si>
    <t xml:space="preserve">Chemical handling</t>
  </si>
  <si>
    <t xml:space="preserve">Protective gloves</t>
  </si>
  <si>
    <t xml:space="preserve">Eye / face protection</t>
  </si>
  <si>
    <t xml:space="preserve">Protective clothing</t>
  </si>
  <si>
    <t xml:space="preserve">Mechanical operations</t>
  </si>
  <si>
    <t xml:space="preserve">Safety glasses</t>
  </si>
  <si>
    <t xml:space="preserve">Protective footwear</t>
  </si>
  <si>
    <t xml:space="preserve">Heat</t>
  </si>
  <si>
    <t xml:space="preserve">Heat-resistant gloves</t>
  </si>
  <si>
    <t xml:space="preserve">Dust/particles</t>
  </si>
  <si>
    <t xml:space="preserve">Respiratory protection</t>
  </si>
  <si>
    <t xml:space="preserve">Welding/cutting</t>
  </si>
  <si>
    <t xml:space="preserve">Welding helmet / shield</t>
  </si>
  <si>
    <t xml:space="preserve">Biological hazards</t>
  </si>
  <si>
    <t xml:space="preserve">Disposable gloves and face protection</t>
  </si>
  <si>
    <t xml:space="preserve">General laboratory work</t>
  </si>
  <si>
    <t xml:space="preserve">Lab coat / apron</t>
  </si>
  <si>
    <t xml:space="preserve">Note: available qty above requirement is not counted (capped at 100% per item in column F).</t>
  </si>
  <si>
    <t xml:space="preserve">Safety Training &amp; Competency Records</t>
  </si>
  <si>
    <t xml:space="preserve">SOP Section 15 – training records shall be maintained</t>
  </si>
  <si>
    <t xml:space="preserve">Name</t>
  </si>
  <si>
    <t xml:space="preserve">ID / Roll no.</t>
  </si>
  <si>
    <t xml:space="preserve">Role</t>
  </si>
  <si>
    <t xml:space="preserve">Training module</t>
  </si>
  <si>
    <t xml:space="preserve">Date completed</t>
  </si>
  <si>
    <t xml:space="preserve">Validity (months)</t>
  </si>
  <si>
    <t xml:space="preserve">Expiry date</t>
  </si>
  <si>
    <t xml:space="preserve">Trainer</t>
  </si>
  <si>
    <t xml:space="preserve">K. Priya</t>
  </si>
  <si>
    <t xml:space="preserve">22A31A0412</t>
  </si>
  <si>
    <t xml:space="preserve">Student/Researcher</t>
  </si>
  <si>
    <t xml:space="preserve">General laboratory safety</t>
  </si>
  <si>
    <t xml:space="preserve">Induction batch 2026</t>
  </si>
  <si>
    <t xml:space="preserve">Incident &amp; Near-Miss Log with CAPA Tracking</t>
  </si>
  <si>
    <t xml:space="preserve">SOP Section 14 – Incident → Response → Notify → Secure → Report → Root cause → CAPA → Follow-up review</t>
  </si>
  <si>
    <t xml:space="preserve">Type</t>
  </si>
  <si>
    <t xml:space="preserve">Laboratory / location</t>
  </si>
  <si>
    <t xml:space="preserve">Description</t>
  </si>
  <si>
    <t xml:space="preserve">Severity</t>
  </si>
  <si>
    <t xml:space="preserve">Injury?</t>
  </si>
  <si>
    <t xml:space="preserve">Reported to</t>
  </si>
  <si>
    <t xml:space="preserve">Immediate action taken</t>
  </si>
  <si>
    <t xml:space="preserve">Root cause</t>
  </si>
  <si>
    <t xml:space="preserve">Corrective / preventive action</t>
  </si>
  <si>
    <t xml:space="preserve">Action owner</t>
  </si>
  <si>
    <t xml:space="preserve">Due date</t>
  </si>
  <si>
    <t xml:space="preserve">Closure date</t>
  </si>
  <si>
    <t xml:space="preserve">Repeat incident?</t>
  </si>
  <si>
    <t xml:space="preserve">CAPA status</t>
  </si>
  <si>
    <t xml:space="preserve">Days to close</t>
  </si>
  <si>
    <t xml:space="preserve">Loose terminal found on test bench before energizing</t>
  </si>
  <si>
    <t xml:space="preserve">Minor</t>
  </si>
  <si>
    <t xml:space="preserve">Bench isolated and tagged out</t>
  </si>
  <si>
    <t xml:space="preserve">Terminal screw worn</t>
  </si>
  <si>
    <t xml:space="preserve">Replace terminal block; add pre-start terminal check to bench checklist</t>
  </si>
  <si>
    <t xml:space="preserve">Emergency Drill Register</t>
  </si>
  <si>
    <t xml:space="preserve">SOP Section 10 – Raise alarm → Evacuate → Assemble → Account for occupants → Await authorization</t>
  </si>
  <si>
    <t xml:space="preserve">Planned date</t>
  </si>
  <si>
    <t xml:space="preserve">Drill type</t>
  </si>
  <si>
    <t xml:space="preserve">Laboratory / area</t>
  </si>
  <si>
    <t xml:space="preserve">Conducted?</t>
  </si>
  <si>
    <t xml:space="preserve">Date conducted</t>
  </si>
  <si>
    <t xml:space="preserve">Occupants present</t>
  </si>
  <si>
    <t xml:space="preserve">Occupants accounted</t>
  </si>
  <si>
    <t xml:space="preserve">Accountability %</t>
  </si>
  <si>
    <t xml:space="preserve">Evacuation time (min)</t>
  </si>
  <si>
    <t xml:space="preserve">Drill status</t>
  </si>
  <si>
    <t xml:space="preserve">Observations / improvements</t>
  </si>
  <si>
    <t xml:space="preserve">Fire evacuation</t>
  </si>
  <si>
    <t xml:space="preserve">Assembly point signage to be made more visible</t>
  </si>
  <si>
    <t xml:space="preserve">Yes / No</t>
  </si>
  <si>
    <t xml:space="preserve">Yes / No / N/A</t>
  </si>
  <si>
    <t xml:space="preserve">Hazard categories</t>
  </si>
  <si>
    <t xml:space="preserve">Incident types</t>
  </si>
  <si>
    <t xml:space="preserve">Roles</t>
  </si>
  <si>
    <t xml:space="preserve">Training modules</t>
  </si>
  <si>
    <t xml:space="preserve">Drill types</t>
  </si>
  <si>
    <t xml:space="preserve">Equipment condition</t>
  </si>
  <si>
    <t xml:space="preserve">Score (1-5)</t>
  </si>
  <si>
    <t xml:space="preserve">Parameter</t>
  </si>
  <si>
    <t xml:space="preserve">Value</t>
  </si>
  <si>
    <t xml:space="preserve">Head of Institution</t>
  </si>
  <si>
    <t xml:space="preserve">Low risk: score up to</t>
  </si>
  <si>
    <t xml:space="preserve">Mechanical equipment</t>
  </si>
  <si>
    <t xml:space="preserve">Moderate</t>
  </si>
  <si>
    <t xml:space="preserve">Head of Department</t>
  </si>
  <si>
    <t xml:space="preserve">Fair</t>
  </si>
  <si>
    <t xml:space="preserve">Medium risk: score up to</t>
  </si>
  <si>
    <t xml:space="preserve">Chemicals</t>
  </si>
  <si>
    <t xml:space="preserve">Major</t>
  </si>
  <si>
    <t xml:space="preserve">Laboratory In-Charge</t>
  </si>
  <si>
    <t xml:space="preserve">Electrical safety</t>
  </si>
  <si>
    <t xml:space="preserve">Damaged</t>
  </si>
  <si>
    <t xml:space="preserve">High risk: score up to</t>
  </si>
  <si>
    <t xml:space="preserve">Heat and fire</t>
  </si>
  <si>
    <t xml:space="preserve">Critical</t>
  </si>
  <si>
    <t xml:space="preserve">Faculty/Instructor</t>
  </si>
  <si>
    <t xml:space="preserve">Chemical safety</t>
  </si>
  <si>
    <t xml:space="preserve">Out of service</t>
  </si>
  <si>
    <t xml:space="preserve">(Above High = Critical, max 25)</t>
  </si>
  <si>
    <t xml:space="preserve">Pressure systems</t>
  </si>
  <si>
    <t xml:space="preserve">Laboratory Technician</t>
  </si>
  <si>
    <t xml:space="preserve">Fire safety</t>
  </si>
  <si>
    <t xml:space="preserve">Injury / first aid</t>
  </si>
  <si>
    <t xml:space="preserve">Inspection 'due soon' window (days)</t>
  </si>
  <si>
    <t xml:space="preserve">Sharp tools</t>
  </si>
  <si>
    <t xml:space="preserve">Safety Officer/Committee</t>
  </si>
  <si>
    <t xml:space="preserve">Emergency response</t>
  </si>
  <si>
    <t xml:space="preserve">Training 'expiring' window (days)</t>
  </si>
  <si>
    <t xml:space="preserve">Moving machinery</t>
  </si>
  <si>
    <t xml:space="preserve">PPE</t>
  </si>
  <si>
    <t xml:space="preserve">Radiation / lasers</t>
  </si>
  <si>
    <t xml:space="preserve">Visitor/Contractor</t>
  </si>
  <si>
    <t xml:space="preserve">Waste management</t>
  </si>
  <si>
    <t xml:space="preserve">Yellow cells are editable. Thresholds follow a standard 5x5 likelihood x impact matrix; adjust to your institution's risk policy.</t>
  </si>
  <si>
    <t xml:space="preserve">Biological materials</t>
  </si>
  <si>
    <t xml:space="preserve">Incident reporting</t>
  </si>
  <si>
    <t xml:space="preserve">Compressed gases</t>
  </si>
  <si>
    <t xml:space="preserve">Specialized equipment hazards</t>
  </si>
  <si>
    <t xml:space="preserve">Electronic equipment</t>
  </si>
  <si>
    <t xml:space="preserve">High-voltage equipment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</si>
</sst>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0.0%"/>
    <numFmt numFmtId="167" formatCode="0"/>
    <numFmt numFmtId="168" formatCode="General"/>
    <numFmt numFmtId="169" formatCode="0%"/>
    <numFmt numFmtId="170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F9F9F9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Logged events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Dashboard!C33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Dashboard!$B$34:$B$41</c:f>
              <c:strCache>
                <c:ptCount val="8"/>
                <c:pt idx="0">
                  <c:v>Near miss</c:v>
                </c:pt>
                <c:pt idx="1">
                  <c:v>Injury</c:v>
                </c:pt>
                <c:pt idx="2">
                  <c:v>Electrical accident</c:v>
                </c:pt>
                <c:pt idx="3">
                  <c:v>Chemical spill</c:v>
                </c:pt>
                <c:pt idx="4">
                  <c:v>Fire</c:v>
                </c:pt>
                <c:pt idx="5">
                  <c:v>Gas leak</c:v>
                </c:pt>
                <c:pt idx="6">
                  <c:v>Equipment failure</c:v>
                </c:pt>
                <c:pt idx="7">
                  <c:v>Unsafe condition</c:v>
                </c:pt>
              </c:strCache>
            </c:strRef>
          </c:cat>
          <c:val>
            <c:numRef>
              <c:f>Dashboard!$C$34:$C$41</c:f>
              <c:numCache>
                <c:formatCode>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75089324"/>
        <c:axId val="76677939"/>
      </c:barChart>
      <c:catAx>
        <c:axId val="750893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77939"/>
        <c:crosses val="autoZero"/>
        <c:auto val="1"/>
        <c:lblAlgn val="ctr"/>
        <c:lblOffset val="100"/>
        <c:noMultiLvlLbl val="0"/>
      </c:catAx>
      <c:valAx>
        <c:axId val="76677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893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22</xdr:row>
      <xdr:rowOff>39240</xdr:rowOff>
    </xdr:from>
    <xdr:to>
      <xdr:col>10</xdr:col>
      <xdr:colOff>259920</xdr:colOff>
      <xdr:row>36</xdr:row>
      <xdr:rowOff>72000</xdr:rowOff>
    </xdr:to>
    <xdr:graphicFrame>
      <xdr:nvGraphicFramePr>
        <xdr:cNvPr id="0" name="Chart 1"/>
        <xdr:cNvGraphicFramePr/>
      </xdr:nvGraphicFramePr>
      <xdr:xfrm>
        <a:off x="6414120" y="63054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8" t="s">
        <v>7</v>
      </c>
      <c r="B7" s="6" t="s">
        <v>8</v>
      </c>
    </row>
    <row r="8" customFormat="false" ht="26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4" t="s">
        <v>15</v>
      </c>
      <c r="B11" s="4"/>
    </row>
    <row r="12" customFormat="false" ht="26.85" hidden="false" customHeight="false" outlineLevel="0" collapsed="false">
      <c r="A12" s="5" t="s">
        <v>16</v>
      </c>
      <c r="B12" s="6" t="s">
        <v>17</v>
      </c>
    </row>
    <row r="13" customFormat="false" ht="26.85" hidden="false" customHeight="false" outlineLevel="0" collapsed="false">
      <c r="A13" s="5" t="s">
        <v>18</v>
      </c>
      <c r="B13" s="6" t="s">
        <v>19</v>
      </c>
    </row>
    <row r="14" customFormat="false" ht="26.85" hidden="false" customHeight="false" outlineLevel="0" collapsed="false">
      <c r="A14" s="5" t="s">
        <v>20</v>
      </c>
      <c r="B14" s="6" t="s">
        <v>21</v>
      </c>
    </row>
    <row r="15" customFormat="false" ht="1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6" t="s">
        <v>29</v>
      </c>
    </row>
    <row r="19" customFormat="false" ht="15" hidden="false" customHeight="fals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5" t="s">
        <v>32</v>
      </c>
      <c r="B20" s="6" t="s">
        <v>33</v>
      </c>
    </row>
    <row r="21" customFormat="false" ht="15" hidden="false" customHeight="false" outlineLevel="0" collapsed="false">
      <c r="A21" s="5" t="s">
        <v>34</v>
      </c>
      <c r="B21" s="6" t="s">
        <v>35</v>
      </c>
    </row>
    <row r="22" customFormat="false" ht="15" hidden="false" customHeight="false" outlineLevel="0" collapsed="false">
      <c r="A22" s="5" t="s">
        <v>36</v>
      </c>
      <c r="B22" s="6" t="s">
        <v>37</v>
      </c>
    </row>
  </sheetData>
  <mergeCells count="2">
    <mergeCell ref="A4:B4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" t="s">
        <v>38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true" outlineLevel="0" collapsed="false">
      <c r="A4" s="2"/>
      <c r="B4" s="9" t="s">
        <v>40</v>
      </c>
      <c r="C4" s="10" t="s">
        <v>41</v>
      </c>
      <c r="D4" s="10"/>
      <c r="E4" s="10"/>
      <c r="F4" s="2"/>
      <c r="G4" s="2"/>
    </row>
    <row r="5" customFormat="false" ht="15" hidden="false" customHeight="false" outlineLevel="0" collapsed="false">
      <c r="A5" s="2"/>
      <c r="B5" s="9" t="s">
        <v>11</v>
      </c>
      <c r="C5" s="11" t="n">
        <f aca="true">TODAY()</f>
        <v>46298</v>
      </c>
      <c r="D5" s="2"/>
      <c r="E5" s="2"/>
      <c r="F5" s="2"/>
      <c r="G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31.5" hidden="false" customHeight="true" outlineLevel="0" collapsed="false">
      <c r="A7" s="12" t="s">
        <v>42</v>
      </c>
      <c r="B7" s="12" t="s">
        <v>43</v>
      </c>
      <c r="C7" s="12" t="s">
        <v>44</v>
      </c>
      <c r="D7" s="12" t="s">
        <v>45</v>
      </c>
      <c r="E7" s="12" t="s">
        <v>46</v>
      </c>
      <c r="F7" s="12" t="s">
        <v>47</v>
      </c>
      <c r="G7" s="12" t="s">
        <v>48</v>
      </c>
    </row>
    <row r="8" customFormat="false" ht="26.85" hidden="false" customHeight="false" outlineLevel="0" collapsed="false">
      <c r="A8" s="13" t="n">
        <v>1</v>
      </c>
      <c r="B8" s="14" t="s">
        <v>49</v>
      </c>
      <c r="C8" s="15" t="s">
        <v>50</v>
      </c>
      <c r="D8" s="16" t="n">
        <f aca="false">'Inspection Checklist'!$C$26</f>
        <v>0.909090909090909</v>
      </c>
      <c r="E8" s="17" t="n">
        <v>0.95</v>
      </c>
      <c r="F8" s="13" t="s">
        <v>51</v>
      </c>
      <c r="G8" s="18" t="str">
        <f aca="false">IF(D8="","No data",IF(D8&gt;=E8,"On target",IF(D8&gt;=E8*0.9,"Watch","Action needed")))</f>
        <v>Watch</v>
      </c>
    </row>
    <row r="9" customFormat="false" ht="26.85" hidden="false" customHeight="false" outlineLevel="0" collapsed="false">
      <c r="A9" s="13" t="n">
        <v>2</v>
      </c>
      <c r="B9" s="14" t="s">
        <v>52</v>
      </c>
      <c r="C9" s="15" t="s">
        <v>53</v>
      </c>
      <c r="D9" s="16" t="n">
        <f aca="false">'Pre-Lab Checklist'!$C$32</f>
        <v>0.933333333333333</v>
      </c>
      <c r="E9" s="17" t="n">
        <v>1</v>
      </c>
      <c r="F9" s="13" t="s">
        <v>51</v>
      </c>
      <c r="G9" s="18" t="str">
        <f aca="false">IF(D9="","No data",IF(D9&gt;=E9,"On target",IF(D9&gt;=E9*0.9,"Watch","Action needed")))</f>
        <v>Watch</v>
      </c>
    </row>
    <row r="10" customFormat="false" ht="26.85" hidden="false" customHeight="false" outlineLevel="0" collapsed="false">
      <c r="A10" s="13" t="n">
        <v>3</v>
      </c>
      <c r="B10" s="14" t="s">
        <v>54</v>
      </c>
      <c r="C10" s="15" t="s">
        <v>55</v>
      </c>
      <c r="D10" s="16" t="n">
        <f aca="false">IFERROR(COUNTIF('Training Records'!H5:H104,"Current")/COUNTA('Training Records'!A5:A104),"")</f>
        <v>1</v>
      </c>
      <c r="E10" s="17" t="n">
        <v>0.95</v>
      </c>
      <c r="F10" s="13" t="s">
        <v>51</v>
      </c>
      <c r="G10" s="18" t="str">
        <f aca="false">IF(D10="","No data",IF(D10&gt;=E10,"On target",IF(D10&gt;=E10*0.9,"Watch","Action needed")))</f>
        <v>On target</v>
      </c>
    </row>
    <row r="11" customFormat="false" ht="26.85" hidden="false" customHeight="false" outlineLevel="0" collapsed="false">
      <c r="A11" s="13" t="n">
        <v>4</v>
      </c>
      <c r="B11" s="14" t="s">
        <v>56</v>
      </c>
      <c r="C11" s="15" t="s">
        <v>57</v>
      </c>
      <c r="D11" s="16" t="n">
        <f aca="false">IFERROR((COUNTIF('Equipment Register'!J5:J54,"Current")+COUNTIF('Equipment Register'!J5:J54,"Due soon"))/COUNTA('Equipment Register'!B5:B54),"")</f>
        <v>1</v>
      </c>
      <c r="E11" s="17" t="n">
        <v>1</v>
      </c>
      <c r="F11" s="13" t="s">
        <v>51</v>
      </c>
      <c r="G11" s="18" t="str">
        <f aca="false">IF(D11="","No data",IF(D11&gt;=E11,"On target",IF(D11&gt;=E11*0.9,"Watch","Action needed")))</f>
        <v>On target</v>
      </c>
    </row>
    <row r="12" customFormat="false" ht="26.85" hidden="false" customHeight="false" outlineLevel="0" collapsed="false">
      <c r="A12" s="13" t="n">
        <v>5</v>
      </c>
      <c r="B12" s="14" t="s">
        <v>58</v>
      </c>
      <c r="C12" s="15" t="s">
        <v>59</v>
      </c>
      <c r="D12" s="16" t="n">
        <f aca="false">IFERROR(COUNTIF('Emergency Drills'!J5:J34,"Completed")/(COUNTIF('Emergency Drills'!J5:J34,"Completed")+COUNTIF('Emergency Drills'!J5:J34,"Missed")),"")</f>
        <v>1</v>
      </c>
      <c r="E12" s="17" t="n">
        <v>1</v>
      </c>
      <c r="F12" s="13" t="s">
        <v>51</v>
      </c>
      <c r="G12" s="18" t="str">
        <f aca="false">IF(D12="","No data",IF(D12&gt;=E12,"On target",IF(D12&gt;=E12*0.9,"Watch","Action needed")))</f>
        <v>On target</v>
      </c>
    </row>
    <row r="13" customFormat="false" ht="26.85" hidden="false" customHeight="false" outlineLevel="0" collapsed="false">
      <c r="A13" s="13" t="n">
        <v>6</v>
      </c>
      <c r="B13" s="14" t="s">
        <v>60</v>
      </c>
      <c r="C13" s="15" t="s">
        <v>61</v>
      </c>
      <c r="D13" s="19" t="n">
        <f aca="false">COUNT('Incident Log'!B5:B54)-COUNTIF('Incident Log'!C5:C54,"Near miss")</f>
        <v>0</v>
      </c>
      <c r="E13" s="20" t="n">
        <v>0</v>
      </c>
      <c r="F13" s="13" t="s">
        <v>62</v>
      </c>
      <c r="G13" s="18" t="str">
        <f aca="false">IF(D13="","No data",IF(D13&lt;=E13,"On target","Action needed"))</f>
        <v>On target</v>
      </c>
    </row>
    <row r="14" customFormat="false" ht="26.85" hidden="false" customHeight="false" outlineLevel="0" collapsed="false">
      <c r="A14" s="13" t="n">
        <v>7</v>
      </c>
      <c r="B14" s="14" t="s">
        <v>63</v>
      </c>
      <c r="C14" s="15" t="s">
        <v>64</v>
      </c>
      <c r="D14" s="19" t="n">
        <f aca="false">COUNTIF('Incident Log'!C5:C54,"Near miss")</f>
        <v>1</v>
      </c>
      <c r="E14" s="20" t="n">
        <v>1</v>
      </c>
      <c r="F14" s="13" t="s">
        <v>51</v>
      </c>
      <c r="G14" s="18" t="str">
        <f aca="false">IF(D14="","No data",IF(D14&gt;=E14,"On target",IF(D14&gt;=E14*0.9,"Watch","Action needed")))</f>
        <v>On target</v>
      </c>
    </row>
    <row r="15" customFormat="false" ht="26.85" hidden="false" customHeight="false" outlineLevel="0" collapsed="false">
      <c r="A15" s="13" t="n">
        <v>8</v>
      </c>
      <c r="B15" s="14" t="s">
        <v>65</v>
      </c>
      <c r="C15" s="15" t="s">
        <v>66</v>
      </c>
      <c r="D15" s="16" t="n">
        <f aca="false">IFERROR(COUNTIF('Incident Log'!P5:P54,"Closed")/COUNT('Incident Log'!B5:B54),"")</f>
        <v>1</v>
      </c>
      <c r="E15" s="17" t="n">
        <v>0.9</v>
      </c>
      <c r="F15" s="13" t="s">
        <v>51</v>
      </c>
      <c r="G15" s="18" t="str">
        <f aca="false">IF(D15="","No data",IF(D15&gt;=E15,"On target",IF(D15&gt;=E15*0.9,"Watch","Action needed")))</f>
        <v>On target</v>
      </c>
    </row>
    <row r="16" customFormat="false" ht="26.85" hidden="false" customHeight="false" outlineLevel="0" collapsed="false">
      <c r="A16" s="13" t="n">
        <v>9</v>
      </c>
      <c r="B16" s="14" t="s">
        <v>67</v>
      </c>
      <c r="C16" s="15" t="s">
        <v>68</v>
      </c>
      <c r="D16" s="16" t="n">
        <f aca="false">'PPE Availability'!$F$26</f>
        <v>0.980952380952381</v>
      </c>
      <c r="E16" s="17" t="n">
        <v>1</v>
      </c>
      <c r="F16" s="13" t="s">
        <v>51</v>
      </c>
      <c r="G16" s="18" t="str">
        <f aca="false">IF(D16="","No data",IF(D16&gt;=E16,"On target",IF(D16&gt;=E16*0.9,"Watch","Action needed")))</f>
        <v>Watch</v>
      </c>
    </row>
    <row r="17" customFormat="false" ht="26.85" hidden="false" customHeight="false" outlineLevel="0" collapsed="false">
      <c r="A17" s="13" t="n">
        <v>10</v>
      </c>
      <c r="B17" s="14" t="s">
        <v>69</v>
      </c>
      <c r="C17" s="15" t="s">
        <v>70</v>
      </c>
      <c r="D17" s="16" t="n">
        <f aca="false">IFERROR(COUNTIF('Emergency Equipment'!H5:H24,"Ready")/COUNTA('Emergency Equipment'!B5:B24),"")</f>
        <v>0.916666666666667</v>
      </c>
      <c r="E17" s="17" t="n">
        <v>1</v>
      </c>
      <c r="F17" s="13" t="s">
        <v>51</v>
      </c>
      <c r="G17" s="18" t="str">
        <f aca="false">IF(D17="","No data",IF(D17&gt;=E17,"On target",IF(D17&gt;=E17*0.9,"Watch","Action needed")))</f>
        <v>Watch</v>
      </c>
    </row>
    <row r="18" customFormat="false" ht="26.85" hidden="false" customHeight="false" outlineLevel="0" collapsed="false">
      <c r="A18" s="13" t="n">
        <v>11</v>
      </c>
      <c r="B18" s="14" t="s">
        <v>71</v>
      </c>
      <c r="C18" s="15" t="s">
        <v>72</v>
      </c>
      <c r="D18" s="16" t="n">
        <f aca="false">IFERROR(COUNTIF('Incident Log'!O5:O54,"Yes")/COUNT('Incident Log'!B5:B54),"")</f>
        <v>0</v>
      </c>
      <c r="E18" s="17" t="n">
        <v>0</v>
      </c>
      <c r="F18" s="13" t="s">
        <v>62</v>
      </c>
      <c r="G18" s="18" t="str">
        <f aca="false">IF(D18="","No data",IF(D18&lt;=E18,"On target","Action needed"))</f>
        <v>On target</v>
      </c>
    </row>
    <row r="19" customFormat="false" ht="26.85" hidden="false" customHeight="false" outlineLevel="0" collapsed="false">
      <c r="A19" s="13" t="n">
        <v>12</v>
      </c>
      <c r="B19" s="14" t="s">
        <v>73</v>
      </c>
      <c r="C19" s="15" t="s">
        <v>74</v>
      </c>
      <c r="D19" s="19" t="n">
        <f aca="false">COUNTIF('Risk Assessment'!O5:O54,"High")+COUNTIF('Risk Assessment'!O5:O54,"Critical")</f>
        <v>0</v>
      </c>
      <c r="E19" s="20" t="n">
        <v>0</v>
      </c>
      <c r="F19" s="13" t="s">
        <v>62</v>
      </c>
      <c r="G19" s="18" t="str">
        <f aca="false">IF(D19="","No data",IF(D19&lt;=E19,"On target","Action needed"))</f>
        <v>On target</v>
      </c>
    </row>
    <row r="20" customFormat="false" ht="15" hidden="false" customHeight="false" outlineLevel="0" collapsed="false">
      <c r="A20" s="2"/>
      <c r="B20" s="21" t="s">
        <v>75</v>
      </c>
      <c r="C20" s="2"/>
      <c r="D20" s="2"/>
      <c r="E20" s="2"/>
      <c r="F20" s="2"/>
      <c r="G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2"/>
      <c r="B22" s="12" t="s">
        <v>76</v>
      </c>
      <c r="C22" s="12" t="s">
        <v>77</v>
      </c>
      <c r="D22" s="12" t="s">
        <v>78</v>
      </c>
      <c r="E22" s="2"/>
      <c r="F22" s="2"/>
      <c r="G22" s="2"/>
    </row>
    <row r="23" customFormat="false" ht="15" hidden="false" customHeight="false" outlineLevel="0" collapsed="false">
      <c r="A23" s="2"/>
      <c r="B23" s="6" t="s">
        <v>79</v>
      </c>
      <c r="C23" s="15" t="s">
        <v>32</v>
      </c>
      <c r="D23" s="19" t="n">
        <f aca="false">COUNTIF('Incident Log'!P5:P54,"Open")+COUNTIF('Incident Log'!P5:P54,"CAPA not set")</f>
        <v>0</v>
      </c>
      <c r="E23" s="2"/>
      <c r="F23" s="2"/>
      <c r="G23" s="2"/>
    </row>
    <row r="24" customFormat="false" ht="15" hidden="false" customHeight="false" outlineLevel="0" collapsed="false">
      <c r="A24" s="2"/>
      <c r="B24" s="6" t="s">
        <v>80</v>
      </c>
      <c r="C24" s="15" t="s">
        <v>32</v>
      </c>
      <c r="D24" s="19" t="n">
        <f aca="false">COUNTIF('Incident Log'!P5:P54,"Overdue")</f>
        <v>0</v>
      </c>
      <c r="E24" s="2"/>
      <c r="F24" s="2"/>
      <c r="G24" s="2"/>
    </row>
    <row r="25" customFormat="false" ht="15" hidden="false" customHeight="false" outlineLevel="0" collapsed="false">
      <c r="A25" s="2"/>
      <c r="B25" s="6" t="s">
        <v>81</v>
      </c>
      <c r="C25" s="15" t="s">
        <v>24</v>
      </c>
      <c r="D25" s="19" t="n">
        <f aca="false">COUNTIF('Equipment Register'!J5:J54,"Overdue")</f>
        <v>0</v>
      </c>
      <c r="E25" s="2"/>
      <c r="F25" s="2"/>
      <c r="G25" s="2"/>
    </row>
    <row r="26" customFormat="false" ht="15" hidden="false" customHeight="false" outlineLevel="0" collapsed="false">
      <c r="A26" s="2"/>
      <c r="B26" s="6" t="s">
        <v>82</v>
      </c>
      <c r="C26" s="15" t="s">
        <v>24</v>
      </c>
      <c r="D26" s="19" t="n">
        <f aca="false">COUNTIF('Equipment Register'!L5:L54,"No")</f>
        <v>0</v>
      </c>
      <c r="E26" s="2"/>
      <c r="F26" s="2"/>
      <c r="G26" s="2"/>
    </row>
    <row r="27" customFormat="false" ht="15" hidden="false" customHeight="false" outlineLevel="0" collapsed="false">
      <c r="A27" s="2"/>
      <c r="B27" s="6" t="s">
        <v>83</v>
      </c>
      <c r="C27" s="15" t="s">
        <v>26</v>
      </c>
      <c r="D27" s="19" t="n">
        <f aca="false">COUNTIF('Emergency Equipment'!H5:H24,"Not ready")+COUNTIF('Emergency Equipment'!H5:H24,"Test overdue")</f>
        <v>1</v>
      </c>
      <c r="E27" s="2"/>
      <c r="F27" s="2"/>
      <c r="G27" s="2"/>
    </row>
    <row r="28" customFormat="false" ht="15" hidden="false" customHeight="false" outlineLevel="0" collapsed="false">
      <c r="A28" s="2"/>
      <c r="B28" s="6" t="s">
        <v>84</v>
      </c>
      <c r="C28" s="15" t="s">
        <v>30</v>
      </c>
      <c r="D28" s="19" t="n">
        <f aca="false">COUNTIF('Training Records'!H5:H104,"Expired")+COUNTIF('Training Records'!H5:H104,"Expiring")</f>
        <v>0</v>
      </c>
      <c r="E28" s="2"/>
      <c r="F28" s="2"/>
      <c r="G28" s="2"/>
    </row>
    <row r="29" customFormat="false" ht="15" hidden="false" customHeight="false" outlineLevel="0" collapsed="false">
      <c r="A29" s="2"/>
      <c r="B29" s="6" t="s">
        <v>85</v>
      </c>
      <c r="C29" s="15" t="s">
        <v>22</v>
      </c>
      <c r="D29" s="19" t="n">
        <f aca="false">COUNTIF('Inspection Checklist'!C9:C20,"Non-compliant")</f>
        <v>1</v>
      </c>
      <c r="E29" s="2"/>
      <c r="F29" s="2"/>
      <c r="G29" s="2"/>
    </row>
    <row r="30" customFormat="false" ht="15" hidden="false" customHeight="false" outlineLevel="0" collapsed="false">
      <c r="A30" s="2"/>
      <c r="B30" s="6" t="s">
        <v>86</v>
      </c>
      <c r="C30" s="15" t="s">
        <v>28</v>
      </c>
      <c r="D30" s="19" t="n">
        <f aca="false">COUNTIF('PPE Availability'!G5:G24,"Shortage")+COUNTIF('PPE Availability'!G5:G24,"Replace")+COUNTIF('PPE Availability'!G5:G24,"Low stock")</f>
        <v>2</v>
      </c>
      <c r="E30" s="2"/>
      <c r="F30" s="2"/>
      <c r="G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2"/>
      <c r="B33" s="12" t="s">
        <v>87</v>
      </c>
      <c r="C33" s="12" t="s">
        <v>78</v>
      </c>
      <c r="D33" s="2"/>
      <c r="E33" s="2"/>
      <c r="F33" s="2"/>
      <c r="G33" s="2"/>
    </row>
    <row r="34" customFormat="false" ht="15" hidden="false" customHeight="false" outlineLevel="0" collapsed="false">
      <c r="A34" s="2"/>
      <c r="B34" s="6" t="s">
        <v>88</v>
      </c>
      <c r="C34" s="19" t="n">
        <f aca="false">COUNTIF('Incident Log'!C5:C54,B34)</f>
        <v>1</v>
      </c>
      <c r="D34" s="2"/>
      <c r="E34" s="2"/>
      <c r="F34" s="2"/>
      <c r="G34" s="2"/>
    </row>
    <row r="35" customFormat="false" ht="15" hidden="false" customHeight="false" outlineLevel="0" collapsed="false">
      <c r="A35" s="2"/>
      <c r="B35" s="6" t="s">
        <v>89</v>
      </c>
      <c r="C35" s="19" t="n">
        <f aca="false">COUNTIF('Incident Log'!C5:C54,B35)</f>
        <v>0</v>
      </c>
      <c r="D35" s="2"/>
      <c r="E35" s="2"/>
      <c r="F35" s="2"/>
      <c r="G35" s="2"/>
    </row>
    <row r="36" customFormat="false" ht="15" hidden="false" customHeight="false" outlineLevel="0" collapsed="false">
      <c r="A36" s="2"/>
      <c r="B36" s="6" t="s">
        <v>90</v>
      </c>
      <c r="C36" s="19" t="n">
        <f aca="false">COUNTIF('Incident Log'!C5:C54,B36)</f>
        <v>0</v>
      </c>
      <c r="D36" s="2"/>
      <c r="E36" s="2"/>
      <c r="F36" s="2"/>
      <c r="G36" s="2"/>
    </row>
    <row r="37" customFormat="false" ht="15" hidden="false" customHeight="false" outlineLevel="0" collapsed="false">
      <c r="A37" s="2"/>
      <c r="B37" s="6" t="s">
        <v>91</v>
      </c>
      <c r="C37" s="19" t="n">
        <f aca="false">COUNTIF('Incident Log'!C5:C54,B37)</f>
        <v>0</v>
      </c>
      <c r="D37" s="2"/>
      <c r="E37" s="2"/>
      <c r="F37" s="2"/>
      <c r="G37" s="2"/>
    </row>
    <row r="38" customFormat="false" ht="15" hidden="false" customHeight="false" outlineLevel="0" collapsed="false">
      <c r="A38" s="2"/>
      <c r="B38" s="6" t="s">
        <v>92</v>
      </c>
      <c r="C38" s="19" t="n">
        <f aca="false">COUNTIF('Incident Log'!C5:C54,B38)</f>
        <v>0</v>
      </c>
      <c r="D38" s="2"/>
      <c r="E38" s="2"/>
      <c r="F38" s="2"/>
      <c r="G38" s="2"/>
    </row>
    <row r="39" customFormat="false" ht="15" hidden="false" customHeight="false" outlineLevel="0" collapsed="false">
      <c r="A39" s="2"/>
      <c r="B39" s="6" t="s">
        <v>93</v>
      </c>
      <c r="C39" s="19" t="n">
        <f aca="false">COUNTIF('Incident Log'!C5:C54,B39)</f>
        <v>0</v>
      </c>
      <c r="D39" s="2"/>
      <c r="E39" s="2"/>
      <c r="F39" s="2"/>
      <c r="G39" s="2"/>
    </row>
    <row r="40" customFormat="false" ht="15" hidden="false" customHeight="false" outlineLevel="0" collapsed="false">
      <c r="A40" s="2"/>
      <c r="B40" s="6" t="s">
        <v>94</v>
      </c>
      <c r="C40" s="19" t="n">
        <f aca="false">COUNTIF('Incident Log'!C5:C54,B40)</f>
        <v>0</v>
      </c>
      <c r="D40" s="2"/>
      <c r="E40" s="2"/>
      <c r="F40" s="2"/>
      <c r="G40" s="2"/>
    </row>
    <row r="41" customFormat="false" ht="15" hidden="false" customHeight="false" outlineLevel="0" collapsed="false">
      <c r="A41" s="2"/>
      <c r="B41" s="6" t="s">
        <v>95</v>
      </c>
      <c r="C41" s="19" t="n">
        <f aca="false">COUNTIF('Incident Log'!C5:C54,B41)</f>
        <v>0</v>
      </c>
      <c r="D41" s="2"/>
      <c r="E41" s="2"/>
      <c r="F41" s="2"/>
      <c r="G41" s="2"/>
    </row>
  </sheetData>
  <mergeCells count="1">
    <mergeCell ref="C4:E4"/>
  </mergeCells>
  <conditionalFormatting sqref="G8:G19">
    <cfRule type="cellIs" priority="2" operator="equal" aboveAverage="0" equalAverage="0" bottom="0" percent="0" rank="0" text="" dxfId="0">
      <formula>"On target"</formula>
    </cfRule>
    <cfRule type="cellIs" priority="3" operator="equal" aboveAverage="0" equalAverage="0" bottom="0" percent="0" rank="0" text="" dxfId="1">
      <formula>"Watch"</formula>
    </cfRule>
    <cfRule type="cellIs" priority="4" operator="equal" aboveAverage="0" equalAverage="0" bottom="0" percent="0" rank="0" text="" dxfId="1">
      <formula>"No data"</formula>
    </cfRule>
    <cfRule type="cellIs" priority="5" operator="equal" aboveAverage="0" equalAverage="0" bottom="0" percent="0" rank="0" text="" dxfId="2">
      <formula>"Action needed"</formula>
    </cfRule>
  </conditionalFormatting>
  <conditionalFormatting sqref="D23:D30">
    <cfRule type="cellIs" priority="6" operator="greaterThan" aboveAverage="0" equalAverage="0" bottom="0" percent="0" rank="0" text="" dxfId="2">
      <formula>0</formula>
    </cfRule>
    <cfRule type="cellIs" priority="7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9.7" hidden="false" customHeight="false" outlineLevel="0" collapsed="false">
      <c r="A1" s="1" t="s">
        <v>96</v>
      </c>
      <c r="B1" s="2"/>
      <c r="C1" s="2"/>
      <c r="D1" s="2"/>
    </row>
    <row r="2" customFormat="false" ht="15" hidden="false" customHeight="false" outlineLevel="0" collapsed="false">
      <c r="A2" s="3" t="s">
        <v>97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9" t="s">
        <v>98</v>
      </c>
      <c r="B4" s="10" t="s">
        <v>99</v>
      </c>
      <c r="C4" s="10"/>
      <c r="D4" s="2"/>
    </row>
    <row r="5" customFormat="false" ht="15" hidden="false" customHeight="true" outlineLevel="0" collapsed="false">
      <c r="A5" s="9" t="s">
        <v>100</v>
      </c>
      <c r="B5" s="10" t="s">
        <v>101</v>
      </c>
      <c r="C5" s="10"/>
      <c r="D5" s="2"/>
    </row>
    <row r="6" customFormat="false" ht="15" hidden="false" customHeight="false" outlineLevel="0" collapsed="false">
      <c r="A6" s="9" t="s">
        <v>102</v>
      </c>
      <c r="B6" s="11" t="n">
        <v>46300</v>
      </c>
      <c r="C6" s="11"/>
      <c r="D6" s="2"/>
    </row>
    <row r="7" customFormat="false" ht="15" hidden="false" customHeight="true" outlineLevel="0" collapsed="false">
      <c r="A7" s="9" t="s">
        <v>103</v>
      </c>
      <c r="B7" s="10" t="s">
        <v>104</v>
      </c>
      <c r="C7" s="10"/>
      <c r="D7" s="2"/>
    </row>
    <row r="8" customFormat="false" ht="15" hidden="false" customHeight="false" outlineLevel="0" collapsed="false">
      <c r="A8" s="2"/>
      <c r="B8" s="2"/>
      <c r="C8" s="2"/>
      <c r="D8" s="2"/>
    </row>
    <row r="9" customFormat="false" ht="31.5" hidden="false" customHeight="true" outlineLevel="0" collapsed="false">
      <c r="A9" s="12" t="s">
        <v>42</v>
      </c>
      <c r="B9" s="12" t="s">
        <v>105</v>
      </c>
      <c r="C9" s="12" t="s">
        <v>106</v>
      </c>
      <c r="D9" s="12" t="s">
        <v>107</v>
      </c>
    </row>
    <row r="10" customFormat="false" ht="15" hidden="false" customHeight="false" outlineLevel="0" collapsed="false">
      <c r="A10" s="22" t="s">
        <v>108</v>
      </c>
      <c r="B10" s="22"/>
      <c r="C10" s="22"/>
      <c r="D10" s="22"/>
    </row>
    <row r="11" customFormat="false" ht="15" hidden="false" customHeight="false" outlineLevel="0" collapsed="false">
      <c r="A11" s="13" t="n">
        <v>1</v>
      </c>
      <c r="B11" s="6" t="s">
        <v>109</v>
      </c>
      <c r="C11" s="23" t="s">
        <v>110</v>
      </c>
      <c r="D11" s="10"/>
    </row>
    <row r="12" customFormat="false" ht="15" hidden="false" customHeight="false" outlineLevel="0" collapsed="false">
      <c r="A12" s="13" t="n">
        <v>2</v>
      </c>
      <c r="B12" s="6" t="s">
        <v>111</v>
      </c>
      <c r="C12" s="23" t="s">
        <v>110</v>
      </c>
      <c r="D12" s="10"/>
    </row>
    <row r="13" customFormat="false" ht="15" hidden="false" customHeight="false" outlineLevel="0" collapsed="false">
      <c r="A13" s="13" t="n">
        <v>3</v>
      </c>
      <c r="B13" s="6" t="s">
        <v>112</v>
      </c>
      <c r="C13" s="23" t="s">
        <v>113</v>
      </c>
      <c r="D13" s="10" t="s">
        <v>114</v>
      </c>
    </row>
    <row r="14" customFormat="false" ht="15" hidden="false" customHeight="false" outlineLevel="0" collapsed="false">
      <c r="A14" s="13" t="n">
        <v>4</v>
      </c>
      <c r="B14" s="6" t="s">
        <v>115</v>
      </c>
      <c r="C14" s="23" t="s">
        <v>110</v>
      </c>
      <c r="D14" s="10"/>
    </row>
    <row r="15" customFormat="false" ht="15" hidden="false" customHeight="false" outlineLevel="0" collapsed="false">
      <c r="A15" s="13" t="n">
        <v>5</v>
      </c>
      <c r="B15" s="6" t="s">
        <v>116</v>
      </c>
      <c r="C15" s="23" t="s">
        <v>110</v>
      </c>
      <c r="D15" s="10"/>
    </row>
    <row r="16" customFormat="false" ht="15" hidden="false" customHeight="false" outlineLevel="0" collapsed="false">
      <c r="A16" s="13" t="n">
        <v>6</v>
      </c>
      <c r="B16" s="6" t="s">
        <v>117</v>
      </c>
      <c r="C16" s="23" t="s">
        <v>110</v>
      </c>
      <c r="D16" s="10"/>
    </row>
    <row r="17" customFormat="false" ht="15" hidden="false" customHeight="false" outlineLevel="0" collapsed="false">
      <c r="A17" s="13" t="n">
        <v>7</v>
      </c>
      <c r="B17" s="6" t="s">
        <v>118</v>
      </c>
      <c r="C17" s="23" t="s">
        <v>110</v>
      </c>
      <c r="D17" s="10"/>
    </row>
    <row r="18" customFormat="false" ht="15" hidden="false" customHeight="false" outlineLevel="0" collapsed="false">
      <c r="A18" s="13" t="n">
        <v>8</v>
      </c>
      <c r="B18" s="6" t="s">
        <v>119</v>
      </c>
      <c r="C18" s="23" t="s">
        <v>110</v>
      </c>
      <c r="D18" s="10"/>
    </row>
    <row r="19" customFormat="false" ht="15" hidden="false" customHeight="false" outlineLevel="0" collapsed="false">
      <c r="A19" s="22" t="s">
        <v>120</v>
      </c>
      <c r="B19" s="22"/>
      <c r="C19" s="22"/>
      <c r="D19" s="22"/>
    </row>
    <row r="20" customFormat="false" ht="15" hidden="false" customHeight="false" outlineLevel="0" collapsed="false">
      <c r="A20" s="13" t="n">
        <v>9</v>
      </c>
      <c r="B20" s="6" t="s">
        <v>121</v>
      </c>
      <c r="C20" s="23" t="s">
        <v>110</v>
      </c>
      <c r="D20" s="10"/>
    </row>
    <row r="21" customFormat="false" ht="15" hidden="false" customHeight="false" outlineLevel="0" collapsed="false">
      <c r="A21" s="13" t="n">
        <v>10</v>
      </c>
      <c r="B21" s="6" t="s">
        <v>122</v>
      </c>
      <c r="C21" s="23" t="s">
        <v>110</v>
      </c>
      <c r="D21" s="10"/>
    </row>
    <row r="22" customFormat="false" ht="15" hidden="false" customHeight="false" outlineLevel="0" collapsed="false">
      <c r="A22" s="13" t="n">
        <v>11</v>
      </c>
      <c r="B22" s="6" t="s">
        <v>123</v>
      </c>
      <c r="C22" s="23" t="s">
        <v>110</v>
      </c>
      <c r="D22" s="10"/>
    </row>
    <row r="23" customFormat="false" ht="15" hidden="false" customHeight="false" outlineLevel="0" collapsed="false">
      <c r="A23" s="13" t="n">
        <v>12</v>
      </c>
      <c r="B23" s="6" t="s">
        <v>124</v>
      </c>
      <c r="C23" s="23" t="s">
        <v>110</v>
      </c>
      <c r="D23" s="10"/>
    </row>
    <row r="24" customFormat="false" ht="15" hidden="false" customHeight="false" outlineLevel="0" collapsed="false">
      <c r="A24" s="13" t="n">
        <v>13</v>
      </c>
      <c r="B24" s="6" t="s">
        <v>125</v>
      </c>
      <c r="C24" s="23" t="s">
        <v>110</v>
      </c>
      <c r="D24" s="10"/>
    </row>
    <row r="25" customFormat="false" ht="15" hidden="false" customHeight="false" outlineLevel="0" collapsed="false">
      <c r="A25" s="13" t="n">
        <v>14</v>
      </c>
      <c r="B25" s="6" t="s">
        <v>126</v>
      </c>
      <c r="C25" s="23" t="s">
        <v>110</v>
      </c>
      <c r="D25" s="10"/>
    </row>
    <row r="26" customFormat="false" ht="15" hidden="false" customHeight="false" outlineLevel="0" collapsed="false">
      <c r="A26" s="13" t="n">
        <v>15</v>
      </c>
      <c r="B26" s="6" t="s">
        <v>127</v>
      </c>
      <c r="C26" s="23" t="s">
        <v>110</v>
      </c>
      <c r="D26" s="10"/>
    </row>
    <row r="27" customFormat="false" ht="15" hidden="false" customHeight="false" outlineLevel="0" collapsed="false">
      <c r="A27" s="2"/>
      <c r="B27" s="2"/>
      <c r="C27" s="2"/>
      <c r="D27" s="2"/>
    </row>
    <row r="28" customFormat="false" ht="15" hidden="false" customHeight="false" outlineLevel="0" collapsed="false">
      <c r="A28" s="2"/>
      <c r="B28" s="24" t="s">
        <v>128</v>
      </c>
      <c r="C28" s="19" t="n">
        <f aca="false">COUNTIF(C11:C26,"Yes")</f>
        <v>14</v>
      </c>
      <c r="D28" s="2"/>
    </row>
    <row r="29" customFormat="false" ht="15" hidden="false" customHeight="false" outlineLevel="0" collapsed="false">
      <c r="A29" s="2"/>
      <c r="B29" s="24" t="s">
        <v>129</v>
      </c>
      <c r="C29" s="19" t="n">
        <f aca="false">COUNTIF(C11:C26,"No")</f>
        <v>1</v>
      </c>
      <c r="D29" s="2"/>
    </row>
    <row r="30" customFormat="false" ht="15" hidden="false" customHeight="false" outlineLevel="0" collapsed="false">
      <c r="A30" s="2"/>
      <c r="B30" s="24" t="s">
        <v>130</v>
      </c>
      <c r="C30" s="19" t="n">
        <f aca="false">COUNTIF(C11:C26,"N/A")</f>
        <v>0</v>
      </c>
      <c r="D30" s="2"/>
    </row>
    <row r="31" customFormat="false" ht="15" hidden="false" customHeight="false" outlineLevel="0" collapsed="false">
      <c r="A31" s="2"/>
      <c r="B31" s="24" t="s">
        <v>131</v>
      </c>
      <c r="C31" s="19" t="n">
        <f aca="false">15-SUM(C28:C30)</f>
        <v>0</v>
      </c>
      <c r="D31" s="2"/>
    </row>
    <row r="32" customFormat="false" ht="15" hidden="false" customHeight="false" outlineLevel="0" collapsed="false">
      <c r="A32" s="2"/>
      <c r="B32" s="24" t="s">
        <v>132</v>
      </c>
      <c r="C32" s="16" t="n">
        <f aca="false">IFERROR(C28/(C28+C29),"")</f>
        <v>0.933333333333333</v>
      </c>
      <c r="D32" s="2"/>
    </row>
    <row r="33" customFormat="false" ht="15" hidden="false" customHeight="false" outlineLevel="0" collapsed="false">
      <c r="A33" s="2"/>
      <c r="B33" s="24" t="s">
        <v>133</v>
      </c>
      <c r="C33" s="18" t="str">
        <f aca="false">IF(C31&gt;0,"INCOMPLETE",IF(C29&gt;0,"NOT READY – resolve all 'No' items","READY TO START"))</f>
        <v>NOT READY – resolve all 'No' items</v>
      </c>
      <c r="D33" s="18"/>
    </row>
  </sheetData>
  <mergeCells count="7">
    <mergeCell ref="B4:C4"/>
    <mergeCell ref="B5:C5"/>
    <mergeCell ref="B6:C6"/>
    <mergeCell ref="B7:C7"/>
    <mergeCell ref="A10:D10"/>
    <mergeCell ref="A19:D19"/>
    <mergeCell ref="C33:D33"/>
  </mergeCells>
  <conditionalFormatting sqref="C11:C2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"N/A"</formula>
    </cfRule>
    <cfRule type="cellIs" priority="4" operator="equal" aboveAverage="0" equalAverage="0" bottom="0" percent="0" rank="0" text="" dxfId="2">
      <formula>"No"</formula>
    </cfRule>
  </conditionalFormatting>
  <conditionalFormatting sqref="C33">
    <cfRule type="cellIs" priority="5" operator="equal" aboveAverage="0" equalAverage="0" bottom="0" percent="0" rank="0" text="" dxfId="0">
      <formula>"READY TO START"</formula>
    </cfRule>
    <cfRule type="cellIs" priority="6" operator="equal" aboveAverage="0" equalAverage="0" bottom="0" percent="0" rank="0" text="" dxfId="1">
      <formula>"INCOMPLETE"</formula>
    </cfRule>
    <cfRule type="cellIs" priority="7" operator="equal" aboveAverage="0" equalAverage="0" bottom="0" percent="0" rank="0" text="" dxfId="2">
      <formula>"NOT READY – resolve all 'No' items"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C11:C26" type="list">
      <formula1>Lists!$B$2:$B$4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22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13"/>
  </cols>
  <sheetData>
    <row r="1" customFormat="false" ht="19.7" hidden="false" customHeight="false" outlineLevel="0" collapsed="false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1.5" hidden="false" customHeight="true" outlineLevel="0" collapsed="false">
      <c r="A4" s="12" t="s">
        <v>136</v>
      </c>
      <c r="B4" s="12" t="s">
        <v>137</v>
      </c>
      <c r="C4" s="12" t="s">
        <v>138</v>
      </c>
      <c r="D4" s="12" t="s">
        <v>139</v>
      </c>
      <c r="E4" s="12" t="s">
        <v>140</v>
      </c>
      <c r="F4" s="12" t="s">
        <v>141</v>
      </c>
      <c r="G4" s="12" t="s">
        <v>142</v>
      </c>
      <c r="H4" s="12" t="s">
        <v>143</v>
      </c>
      <c r="I4" s="12" t="s">
        <v>144</v>
      </c>
      <c r="J4" s="12" t="s">
        <v>145</v>
      </c>
      <c r="K4" s="12" t="s">
        <v>124</v>
      </c>
      <c r="L4" s="12" t="s">
        <v>146</v>
      </c>
      <c r="M4" s="12" t="s">
        <v>147</v>
      </c>
      <c r="N4" s="12" t="s">
        <v>148</v>
      </c>
      <c r="O4" s="12" t="s">
        <v>149</v>
      </c>
      <c r="P4" s="12" t="s">
        <v>150</v>
      </c>
      <c r="Q4" s="12" t="s">
        <v>151</v>
      </c>
    </row>
    <row r="5" customFormat="false" ht="39.55" hidden="false" customHeight="false" outlineLevel="0" collapsed="false">
      <c r="A5" s="18" t="str">
        <f aca="false">IF(B5="","","RA-"&amp;TEXT(ROW()-4,"000"))</f>
        <v>RA-001</v>
      </c>
      <c r="B5" s="10" t="s">
        <v>152</v>
      </c>
      <c r="C5" s="10" t="s">
        <v>153</v>
      </c>
      <c r="D5" s="10" t="s">
        <v>154</v>
      </c>
      <c r="E5" s="10" t="s">
        <v>155</v>
      </c>
      <c r="F5" s="23" t="n">
        <v>4</v>
      </c>
      <c r="G5" s="23" t="n">
        <v>5</v>
      </c>
      <c r="H5" s="18" t="n">
        <f aca="false">IF(OR(F5="",G5=""),"",F5*G5)</f>
        <v>20</v>
      </c>
      <c r="I5" s="18" t="str">
        <f aca="false">IF(H5="","",IF(H5&lt;=Lists!$N$2,"Low",IF(H5&lt;=Lists!$N$3,"Medium",IF(H5&lt;=Lists!$N$4,"High","Critical"))))</f>
        <v>Critical</v>
      </c>
      <c r="J5" s="10" t="s">
        <v>156</v>
      </c>
      <c r="K5" s="10" t="s">
        <v>157</v>
      </c>
      <c r="L5" s="23" t="n">
        <v>2</v>
      </c>
      <c r="M5" s="23" t="n">
        <v>4</v>
      </c>
      <c r="N5" s="18" t="n">
        <f aca="false">IF(OR(L5="",M5=""),"",L5*M5)</f>
        <v>8</v>
      </c>
      <c r="O5" s="18" t="str">
        <f aca="false">IF(N5="","",IF(N5&lt;=Lists!$N$2,"Low",IF(N5&lt;=Lists!$N$3,"Medium",IF(N5&lt;=Lists!$N$4,"High","Critical"))))</f>
        <v>Medium</v>
      </c>
      <c r="P5" s="10" t="s">
        <v>158</v>
      </c>
      <c r="Q5" s="11" t="n">
        <v>46402</v>
      </c>
    </row>
    <row r="6" customFormat="false" ht="15" hidden="false" customHeight="false" outlineLevel="0" collapsed="false">
      <c r="A6" s="18" t="str">
        <f aca="false">IF(B6="","","RA-"&amp;TEXT(ROW()-4,"000"))</f>
        <v/>
      </c>
      <c r="B6" s="10"/>
      <c r="C6" s="10"/>
      <c r="D6" s="10"/>
      <c r="E6" s="10"/>
      <c r="F6" s="23"/>
      <c r="G6" s="23"/>
      <c r="H6" s="18" t="str">
        <f aca="false">IF(OR(F6="",G6=""),"",F6*G6)</f>
        <v/>
      </c>
      <c r="I6" s="18" t="str">
        <f aca="false">IF(H6="","",IF(H6&lt;=Lists!$N$2,"Low",IF(H6&lt;=Lists!$N$3,"Medium",IF(H6&lt;=Lists!$N$4,"High","Critical"))))</f>
        <v/>
      </c>
      <c r="J6" s="10"/>
      <c r="K6" s="10"/>
      <c r="L6" s="23"/>
      <c r="M6" s="23"/>
      <c r="N6" s="18" t="str">
        <f aca="false">IF(OR(L6="",M6=""),"",L6*M6)</f>
        <v/>
      </c>
      <c r="O6" s="18" t="str">
        <f aca="false">IF(N6="","",IF(N6&lt;=Lists!$N$2,"Low",IF(N6&lt;=Lists!$N$3,"Medium",IF(N6&lt;=Lists!$N$4,"High","Critical"))))</f>
        <v/>
      </c>
      <c r="P6" s="10"/>
      <c r="Q6" s="11"/>
    </row>
    <row r="7" customFormat="false" ht="15" hidden="false" customHeight="false" outlineLevel="0" collapsed="false">
      <c r="A7" s="18" t="str">
        <f aca="false">IF(B7="","","RA-"&amp;TEXT(ROW()-4,"000"))</f>
        <v/>
      </c>
      <c r="B7" s="10"/>
      <c r="C7" s="10"/>
      <c r="D7" s="10"/>
      <c r="E7" s="10"/>
      <c r="F7" s="23"/>
      <c r="G7" s="23"/>
      <c r="H7" s="18" t="str">
        <f aca="false">IF(OR(F7="",G7=""),"",F7*G7)</f>
        <v/>
      </c>
      <c r="I7" s="18" t="str">
        <f aca="false">IF(H7="","",IF(H7&lt;=Lists!$N$2,"Low",IF(H7&lt;=Lists!$N$3,"Medium",IF(H7&lt;=Lists!$N$4,"High","Critical"))))</f>
        <v/>
      </c>
      <c r="J7" s="10"/>
      <c r="K7" s="10"/>
      <c r="L7" s="23"/>
      <c r="M7" s="23"/>
      <c r="N7" s="18" t="str">
        <f aca="false">IF(OR(L7="",M7=""),"",L7*M7)</f>
        <v/>
      </c>
      <c r="O7" s="18" t="str">
        <f aca="false">IF(N7="","",IF(N7&lt;=Lists!$N$2,"Low",IF(N7&lt;=Lists!$N$3,"Medium",IF(N7&lt;=Lists!$N$4,"High","Critical"))))</f>
        <v/>
      </c>
      <c r="P7" s="10"/>
      <c r="Q7" s="11"/>
    </row>
    <row r="8" customFormat="false" ht="15" hidden="false" customHeight="false" outlineLevel="0" collapsed="false">
      <c r="A8" s="18" t="str">
        <f aca="false">IF(B8="","","RA-"&amp;TEXT(ROW()-4,"000"))</f>
        <v/>
      </c>
      <c r="B8" s="10"/>
      <c r="C8" s="10"/>
      <c r="D8" s="10"/>
      <c r="E8" s="10"/>
      <c r="F8" s="23"/>
      <c r="G8" s="23"/>
      <c r="H8" s="18" t="str">
        <f aca="false">IF(OR(F8="",G8=""),"",F8*G8)</f>
        <v/>
      </c>
      <c r="I8" s="18" t="str">
        <f aca="false">IF(H8="","",IF(H8&lt;=Lists!$N$2,"Low",IF(H8&lt;=Lists!$N$3,"Medium",IF(H8&lt;=Lists!$N$4,"High","Critical"))))</f>
        <v/>
      </c>
      <c r="J8" s="10"/>
      <c r="K8" s="10"/>
      <c r="L8" s="23"/>
      <c r="M8" s="23"/>
      <c r="N8" s="18" t="str">
        <f aca="false">IF(OR(L8="",M8=""),"",L8*M8)</f>
        <v/>
      </c>
      <c r="O8" s="18" t="str">
        <f aca="false">IF(N8="","",IF(N8&lt;=Lists!$N$2,"Low",IF(N8&lt;=Lists!$N$3,"Medium",IF(N8&lt;=Lists!$N$4,"High","Critical"))))</f>
        <v/>
      </c>
      <c r="P8" s="10"/>
      <c r="Q8" s="11"/>
    </row>
    <row r="9" customFormat="false" ht="15" hidden="false" customHeight="false" outlineLevel="0" collapsed="false">
      <c r="A9" s="18" t="str">
        <f aca="false">IF(B9="","","RA-"&amp;TEXT(ROW()-4,"000"))</f>
        <v/>
      </c>
      <c r="B9" s="10"/>
      <c r="C9" s="10"/>
      <c r="D9" s="10"/>
      <c r="E9" s="10"/>
      <c r="F9" s="23"/>
      <c r="G9" s="23"/>
      <c r="H9" s="18" t="str">
        <f aca="false">IF(OR(F9="",G9=""),"",F9*G9)</f>
        <v/>
      </c>
      <c r="I9" s="18" t="str">
        <f aca="false">IF(H9="","",IF(H9&lt;=Lists!$N$2,"Low",IF(H9&lt;=Lists!$N$3,"Medium",IF(H9&lt;=Lists!$N$4,"High","Critical"))))</f>
        <v/>
      </c>
      <c r="J9" s="10"/>
      <c r="K9" s="10"/>
      <c r="L9" s="23"/>
      <c r="M9" s="23"/>
      <c r="N9" s="18" t="str">
        <f aca="false">IF(OR(L9="",M9=""),"",L9*M9)</f>
        <v/>
      </c>
      <c r="O9" s="18" t="str">
        <f aca="false">IF(N9="","",IF(N9&lt;=Lists!$N$2,"Low",IF(N9&lt;=Lists!$N$3,"Medium",IF(N9&lt;=Lists!$N$4,"High","Critical"))))</f>
        <v/>
      </c>
      <c r="P9" s="10"/>
      <c r="Q9" s="11"/>
    </row>
    <row r="10" customFormat="false" ht="15" hidden="false" customHeight="false" outlineLevel="0" collapsed="false">
      <c r="A10" s="18" t="str">
        <f aca="false">IF(B10="","","RA-"&amp;TEXT(ROW()-4,"000"))</f>
        <v/>
      </c>
      <c r="B10" s="10"/>
      <c r="C10" s="10"/>
      <c r="D10" s="10"/>
      <c r="E10" s="10"/>
      <c r="F10" s="23"/>
      <c r="G10" s="23"/>
      <c r="H10" s="18" t="str">
        <f aca="false">IF(OR(F10="",G10=""),"",F10*G10)</f>
        <v/>
      </c>
      <c r="I10" s="18" t="str">
        <f aca="false">IF(H10="","",IF(H10&lt;=Lists!$N$2,"Low",IF(H10&lt;=Lists!$N$3,"Medium",IF(H10&lt;=Lists!$N$4,"High","Critical"))))</f>
        <v/>
      </c>
      <c r="J10" s="10"/>
      <c r="K10" s="10"/>
      <c r="L10" s="23"/>
      <c r="M10" s="23"/>
      <c r="N10" s="18" t="str">
        <f aca="false">IF(OR(L10="",M10=""),"",L10*M10)</f>
        <v/>
      </c>
      <c r="O10" s="18" t="str">
        <f aca="false">IF(N10="","",IF(N10&lt;=Lists!$N$2,"Low",IF(N10&lt;=Lists!$N$3,"Medium",IF(N10&lt;=Lists!$N$4,"High","Critical"))))</f>
        <v/>
      </c>
      <c r="P10" s="10"/>
      <c r="Q10" s="11"/>
    </row>
    <row r="11" customFormat="false" ht="15" hidden="false" customHeight="false" outlineLevel="0" collapsed="false">
      <c r="A11" s="18" t="str">
        <f aca="false">IF(B11="","","RA-"&amp;TEXT(ROW()-4,"000"))</f>
        <v/>
      </c>
      <c r="B11" s="10"/>
      <c r="C11" s="10"/>
      <c r="D11" s="10"/>
      <c r="E11" s="10"/>
      <c r="F11" s="23"/>
      <c r="G11" s="23"/>
      <c r="H11" s="18" t="str">
        <f aca="false">IF(OR(F11="",G11=""),"",F11*G11)</f>
        <v/>
      </c>
      <c r="I11" s="18" t="str">
        <f aca="false">IF(H11="","",IF(H11&lt;=Lists!$N$2,"Low",IF(H11&lt;=Lists!$N$3,"Medium",IF(H11&lt;=Lists!$N$4,"High","Critical"))))</f>
        <v/>
      </c>
      <c r="J11" s="10"/>
      <c r="K11" s="10"/>
      <c r="L11" s="23"/>
      <c r="M11" s="23"/>
      <c r="N11" s="18" t="str">
        <f aca="false">IF(OR(L11="",M11=""),"",L11*M11)</f>
        <v/>
      </c>
      <c r="O11" s="18" t="str">
        <f aca="false">IF(N11="","",IF(N11&lt;=Lists!$N$2,"Low",IF(N11&lt;=Lists!$N$3,"Medium",IF(N11&lt;=Lists!$N$4,"High","Critical"))))</f>
        <v/>
      </c>
      <c r="P11" s="10"/>
      <c r="Q11" s="11"/>
    </row>
    <row r="12" customFormat="false" ht="15" hidden="false" customHeight="false" outlineLevel="0" collapsed="false">
      <c r="A12" s="18" t="str">
        <f aca="false">IF(B12="","","RA-"&amp;TEXT(ROW()-4,"000"))</f>
        <v/>
      </c>
      <c r="B12" s="10"/>
      <c r="C12" s="10"/>
      <c r="D12" s="10"/>
      <c r="E12" s="10"/>
      <c r="F12" s="23"/>
      <c r="G12" s="23"/>
      <c r="H12" s="18" t="str">
        <f aca="false">IF(OR(F12="",G12=""),"",F12*G12)</f>
        <v/>
      </c>
      <c r="I12" s="18" t="str">
        <f aca="false">IF(H12="","",IF(H12&lt;=Lists!$N$2,"Low",IF(H12&lt;=Lists!$N$3,"Medium",IF(H12&lt;=Lists!$N$4,"High","Critical"))))</f>
        <v/>
      </c>
      <c r="J12" s="10"/>
      <c r="K12" s="10"/>
      <c r="L12" s="23"/>
      <c r="M12" s="23"/>
      <c r="N12" s="18" t="str">
        <f aca="false">IF(OR(L12="",M12=""),"",L12*M12)</f>
        <v/>
      </c>
      <c r="O12" s="18" t="str">
        <f aca="false">IF(N12="","",IF(N12&lt;=Lists!$N$2,"Low",IF(N12&lt;=Lists!$N$3,"Medium",IF(N12&lt;=Lists!$N$4,"High","Critical"))))</f>
        <v/>
      </c>
      <c r="P12" s="10"/>
      <c r="Q12" s="11"/>
    </row>
    <row r="13" customFormat="false" ht="15" hidden="false" customHeight="false" outlineLevel="0" collapsed="false">
      <c r="A13" s="18" t="str">
        <f aca="false">IF(B13="","","RA-"&amp;TEXT(ROW()-4,"000"))</f>
        <v/>
      </c>
      <c r="B13" s="10"/>
      <c r="C13" s="10"/>
      <c r="D13" s="10"/>
      <c r="E13" s="10"/>
      <c r="F13" s="23"/>
      <c r="G13" s="23"/>
      <c r="H13" s="18" t="str">
        <f aca="false">IF(OR(F13="",G13=""),"",F13*G13)</f>
        <v/>
      </c>
      <c r="I13" s="18" t="str">
        <f aca="false">IF(H13="","",IF(H13&lt;=Lists!$N$2,"Low",IF(H13&lt;=Lists!$N$3,"Medium",IF(H13&lt;=Lists!$N$4,"High","Critical"))))</f>
        <v/>
      </c>
      <c r="J13" s="10"/>
      <c r="K13" s="10"/>
      <c r="L13" s="23"/>
      <c r="M13" s="23"/>
      <c r="N13" s="18" t="str">
        <f aca="false">IF(OR(L13="",M13=""),"",L13*M13)</f>
        <v/>
      </c>
      <c r="O13" s="18" t="str">
        <f aca="false">IF(N13="","",IF(N13&lt;=Lists!$N$2,"Low",IF(N13&lt;=Lists!$N$3,"Medium",IF(N13&lt;=Lists!$N$4,"High","Critical"))))</f>
        <v/>
      </c>
      <c r="P13" s="10"/>
      <c r="Q13" s="11"/>
    </row>
    <row r="14" customFormat="false" ht="15" hidden="false" customHeight="false" outlineLevel="0" collapsed="false">
      <c r="A14" s="18" t="str">
        <f aca="false">IF(B14="","","RA-"&amp;TEXT(ROW()-4,"000"))</f>
        <v/>
      </c>
      <c r="B14" s="10"/>
      <c r="C14" s="10"/>
      <c r="D14" s="10"/>
      <c r="E14" s="10"/>
      <c r="F14" s="23"/>
      <c r="G14" s="23"/>
      <c r="H14" s="18" t="str">
        <f aca="false">IF(OR(F14="",G14=""),"",F14*G14)</f>
        <v/>
      </c>
      <c r="I14" s="18" t="str">
        <f aca="false">IF(H14="","",IF(H14&lt;=Lists!$N$2,"Low",IF(H14&lt;=Lists!$N$3,"Medium",IF(H14&lt;=Lists!$N$4,"High","Critical"))))</f>
        <v/>
      </c>
      <c r="J14" s="10"/>
      <c r="K14" s="10"/>
      <c r="L14" s="23"/>
      <c r="M14" s="23"/>
      <c r="N14" s="18" t="str">
        <f aca="false">IF(OR(L14="",M14=""),"",L14*M14)</f>
        <v/>
      </c>
      <c r="O14" s="18" t="str">
        <f aca="false">IF(N14="","",IF(N14&lt;=Lists!$N$2,"Low",IF(N14&lt;=Lists!$N$3,"Medium",IF(N14&lt;=Lists!$N$4,"High","Critical"))))</f>
        <v/>
      </c>
      <c r="P14" s="10"/>
      <c r="Q14" s="11"/>
    </row>
    <row r="15" customFormat="false" ht="15" hidden="false" customHeight="false" outlineLevel="0" collapsed="false">
      <c r="A15" s="18" t="str">
        <f aca="false">IF(B15="","","RA-"&amp;TEXT(ROW()-4,"000"))</f>
        <v/>
      </c>
      <c r="B15" s="10"/>
      <c r="C15" s="10"/>
      <c r="D15" s="10"/>
      <c r="E15" s="10"/>
      <c r="F15" s="23"/>
      <c r="G15" s="23"/>
      <c r="H15" s="18" t="str">
        <f aca="false">IF(OR(F15="",G15=""),"",F15*G15)</f>
        <v/>
      </c>
      <c r="I15" s="18" t="str">
        <f aca="false">IF(H15="","",IF(H15&lt;=Lists!$N$2,"Low",IF(H15&lt;=Lists!$N$3,"Medium",IF(H15&lt;=Lists!$N$4,"High","Critical"))))</f>
        <v/>
      </c>
      <c r="J15" s="10"/>
      <c r="K15" s="10"/>
      <c r="L15" s="23"/>
      <c r="M15" s="23"/>
      <c r="N15" s="18" t="str">
        <f aca="false">IF(OR(L15="",M15=""),"",L15*M15)</f>
        <v/>
      </c>
      <c r="O15" s="18" t="str">
        <f aca="false">IF(N15="","",IF(N15&lt;=Lists!$N$2,"Low",IF(N15&lt;=Lists!$N$3,"Medium",IF(N15&lt;=Lists!$N$4,"High","Critical"))))</f>
        <v/>
      </c>
      <c r="P15" s="10"/>
      <c r="Q15" s="11"/>
    </row>
    <row r="16" customFormat="false" ht="15" hidden="false" customHeight="false" outlineLevel="0" collapsed="false">
      <c r="A16" s="18" t="str">
        <f aca="false">IF(B16="","","RA-"&amp;TEXT(ROW()-4,"000"))</f>
        <v/>
      </c>
      <c r="B16" s="10"/>
      <c r="C16" s="10"/>
      <c r="D16" s="10"/>
      <c r="E16" s="10"/>
      <c r="F16" s="23"/>
      <c r="G16" s="23"/>
      <c r="H16" s="18" t="str">
        <f aca="false">IF(OR(F16="",G16=""),"",F16*G16)</f>
        <v/>
      </c>
      <c r="I16" s="18" t="str">
        <f aca="false">IF(H16="","",IF(H16&lt;=Lists!$N$2,"Low",IF(H16&lt;=Lists!$N$3,"Medium",IF(H16&lt;=Lists!$N$4,"High","Critical"))))</f>
        <v/>
      </c>
      <c r="J16" s="10"/>
      <c r="K16" s="10"/>
      <c r="L16" s="23"/>
      <c r="M16" s="23"/>
      <c r="N16" s="18" t="str">
        <f aca="false">IF(OR(L16="",M16=""),"",L16*M16)</f>
        <v/>
      </c>
      <c r="O16" s="18" t="str">
        <f aca="false">IF(N16="","",IF(N16&lt;=Lists!$N$2,"Low",IF(N16&lt;=Lists!$N$3,"Medium",IF(N16&lt;=Lists!$N$4,"High","Critical"))))</f>
        <v/>
      </c>
      <c r="P16" s="10"/>
      <c r="Q16" s="11"/>
    </row>
    <row r="17" customFormat="false" ht="15" hidden="false" customHeight="false" outlineLevel="0" collapsed="false">
      <c r="A17" s="18" t="str">
        <f aca="false">IF(B17="","","RA-"&amp;TEXT(ROW()-4,"000"))</f>
        <v/>
      </c>
      <c r="B17" s="10"/>
      <c r="C17" s="10"/>
      <c r="D17" s="10"/>
      <c r="E17" s="10"/>
      <c r="F17" s="23"/>
      <c r="G17" s="23"/>
      <c r="H17" s="18" t="str">
        <f aca="false">IF(OR(F17="",G17=""),"",F17*G17)</f>
        <v/>
      </c>
      <c r="I17" s="18" t="str">
        <f aca="false">IF(H17="","",IF(H17&lt;=Lists!$N$2,"Low",IF(H17&lt;=Lists!$N$3,"Medium",IF(H17&lt;=Lists!$N$4,"High","Critical"))))</f>
        <v/>
      </c>
      <c r="J17" s="10"/>
      <c r="K17" s="10"/>
      <c r="L17" s="23"/>
      <c r="M17" s="23"/>
      <c r="N17" s="18" t="str">
        <f aca="false">IF(OR(L17="",M17=""),"",L17*M17)</f>
        <v/>
      </c>
      <c r="O17" s="18" t="str">
        <f aca="false">IF(N17="","",IF(N17&lt;=Lists!$N$2,"Low",IF(N17&lt;=Lists!$N$3,"Medium",IF(N17&lt;=Lists!$N$4,"High","Critical"))))</f>
        <v/>
      </c>
      <c r="P17" s="10"/>
      <c r="Q17" s="11"/>
    </row>
    <row r="18" customFormat="false" ht="15" hidden="false" customHeight="false" outlineLevel="0" collapsed="false">
      <c r="A18" s="18" t="str">
        <f aca="false">IF(B18="","","RA-"&amp;TEXT(ROW()-4,"000"))</f>
        <v/>
      </c>
      <c r="B18" s="10"/>
      <c r="C18" s="10"/>
      <c r="D18" s="10"/>
      <c r="E18" s="10"/>
      <c r="F18" s="23"/>
      <c r="G18" s="23"/>
      <c r="H18" s="18" t="str">
        <f aca="false">IF(OR(F18="",G18=""),"",F18*G18)</f>
        <v/>
      </c>
      <c r="I18" s="18" t="str">
        <f aca="false">IF(H18="","",IF(H18&lt;=Lists!$N$2,"Low",IF(H18&lt;=Lists!$N$3,"Medium",IF(H18&lt;=Lists!$N$4,"High","Critical"))))</f>
        <v/>
      </c>
      <c r="J18" s="10"/>
      <c r="K18" s="10"/>
      <c r="L18" s="23"/>
      <c r="M18" s="23"/>
      <c r="N18" s="18" t="str">
        <f aca="false">IF(OR(L18="",M18=""),"",L18*M18)</f>
        <v/>
      </c>
      <c r="O18" s="18" t="str">
        <f aca="false">IF(N18="","",IF(N18&lt;=Lists!$N$2,"Low",IF(N18&lt;=Lists!$N$3,"Medium",IF(N18&lt;=Lists!$N$4,"High","Critical"))))</f>
        <v/>
      </c>
      <c r="P18" s="10"/>
      <c r="Q18" s="11"/>
    </row>
    <row r="19" customFormat="false" ht="15" hidden="false" customHeight="false" outlineLevel="0" collapsed="false">
      <c r="A19" s="18" t="str">
        <f aca="false">IF(B19="","","RA-"&amp;TEXT(ROW()-4,"000"))</f>
        <v/>
      </c>
      <c r="B19" s="10"/>
      <c r="C19" s="10"/>
      <c r="D19" s="10"/>
      <c r="E19" s="10"/>
      <c r="F19" s="23"/>
      <c r="G19" s="23"/>
      <c r="H19" s="18" t="str">
        <f aca="false">IF(OR(F19="",G19=""),"",F19*G19)</f>
        <v/>
      </c>
      <c r="I19" s="18" t="str">
        <f aca="false">IF(H19="","",IF(H19&lt;=Lists!$N$2,"Low",IF(H19&lt;=Lists!$N$3,"Medium",IF(H19&lt;=Lists!$N$4,"High","Critical"))))</f>
        <v/>
      </c>
      <c r="J19" s="10"/>
      <c r="K19" s="10"/>
      <c r="L19" s="23"/>
      <c r="M19" s="23"/>
      <c r="N19" s="18" t="str">
        <f aca="false">IF(OR(L19="",M19=""),"",L19*M19)</f>
        <v/>
      </c>
      <c r="O19" s="18" t="str">
        <f aca="false">IF(N19="","",IF(N19&lt;=Lists!$N$2,"Low",IF(N19&lt;=Lists!$N$3,"Medium",IF(N19&lt;=Lists!$N$4,"High","Critical"))))</f>
        <v/>
      </c>
      <c r="P19" s="10"/>
      <c r="Q19" s="11"/>
    </row>
    <row r="20" customFormat="false" ht="15" hidden="false" customHeight="false" outlineLevel="0" collapsed="false">
      <c r="A20" s="18" t="str">
        <f aca="false">IF(B20="","","RA-"&amp;TEXT(ROW()-4,"000"))</f>
        <v/>
      </c>
      <c r="B20" s="10"/>
      <c r="C20" s="10"/>
      <c r="D20" s="10"/>
      <c r="E20" s="10"/>
      <c r="F20" s="23"/>
      <c r="G20" s="23"/>
      <c r="H20" s="18" t="str">
        <f aca="false">IF(OR(F20="",G20=""),"",F20*G20)</f>
        <v/>
      </c>
      <c r="I20" s="18" t="str">
        <f aca="false">IF(H20="","",IF(H20&lt;=Lists!$N$2,"Low",IF(H20&lt;=Lists!$N$3,"Medium",IF(H20&lt;=Lists!$N$4,"High","Critical"))))</f>
        <v/>
      </c>
      <c r="J20" s="10"/>
      <c r="K20" s="10"/>
      <c r="L20" s="23"/>
      <c r="M20" s="23"/>
      <c r="N20" s="18" t="str">
        <f aca="false">IF(OR(L20="",M20=""),"",L20*M20)</f>
        <v/>
      </c>
      <c r="O20" s="18" t="str">
        <f aca="false">IF(N20="","",IF(N20&lt;=Lists!$N$2,"Low",IF(N20&lt;=Lists!$N$3,"Medium",IF(N20&lt;=Lists!$N$4,"High","Critical"))))</f>
        <v/>
      </c>
      <c r="P20" s="10"/>
      <c r="Q20" s="11"/>
    </row>
    <row r="21" customFormat="false" ht="15" hidden="false" customHeight="false" outlineLevel="0" collapsed="false">
      <c r="A21" s="18" t="str">
        <f aca="false">IF(B21="","","RA-"&amp;TEXT(ROW()-4,"000"))</f>
        <v/>
      </c>
      <c r="B21" s="10"/>
      <c r="C21" s="10"/>
      <c r="D21" s="10"/>
      <c r="E21" s="10"/>
      <c r="F21" s="23"/>
      <c r="G21" s="23"/>
      <c r="H21" s="18" t="str">
        <f aca="false">IF(OR(F21="",G21=""),"",F21*G21)</f>
        <v/>
      </c>
      <c r="I21" s="18" t="str">
        <f aca="false">IF(H21="","",IF(H21&lt;=Lists!$N$2,"Low",IF(H21&lt;=Lists!$N$3,"Medium",IF(H21&lt;=Lists!$N$4,"High","Critical"))))</f>
        <v/>
      </c>
      <c r="J21" s="10"/>
      <c r="K21" s="10"/>
      <c r="L21" s="23"/>
      <c r="M21" s="23"/>
      <c r="N21" s="18" t="str">
        <f aca="false">IF(OR(L21="",M21=""),"",L21*M21)</f>
        <v/>
      </c>
      <c r="O21" s="18" t="str">
        <f aca="false">IF(N21="","",IF(N21&lt;=Lists!$N$2,"Low",IF(N21&lt;=Lists!$N$3,"Medium",IF(N21&lt;=Lists!$N$4,"High","Critical"))))</f>
        <v/>
      </c>
      <c r="P21" s="10"/>
      <c r="Q21" s="11"/>
    </row>
    <row r="22" customFormat="false" ht="15" hidden="false" customHeight="false" outlineLevel="0" collapsed="false">
      <c r="A22" s="18" t="str">
        <f aca="false">IF(B22="","","RA-"&amp;TEXT(ROW()-4,"000"))</f>
        <v/>
      </c>
      <c r="B22" s="10"/>
      <c r="C22" s="10"/>
      <c r="D22" s="10"/>
      <c r="E22" s="10"/>
      <c r="F22" s="23"/>
      <c r="G22" s="23"/>
      <c r="H22" s="18" t="str">
        <f aca="false">IF(OR(F22="",G22=""),"",F22*G22)</f>
        <v/>
      </c>
      <c r="I22" s="18" t="str">
        <f aca="false">IF(H22="","",IF(H22&lt;=Lists!$N$2,"Low",IF(H22&lt;=Lists!$N$3,"Medium",IF(H22&lt;=Lists!$N$4,"High","Critical"))))</f>
        <v/>
      </c>
      <c r="J22" s="10"/>
      <c r="K22" s="10"/>
      <c r="L22" s="23"/>
      <c r="M22" s="23"/>
      <c r="N22" s="18" t="str">
        <f aca="false">IF(OR(L22="",M22=""),"",L22*M22)</f>
        <v/>
      </c>
      <c r="O22" s="18" t="str">
        <f aca="false">IF(N22="","",IF(N22&lt;=Lists!$N$2,"Low",IF(N22&lt;=Lists!$N$3,"Medium",IF(N22&lt;=Lists!$N$4,"High","Critical"))))</f>
        <v/>
      </c>
      <c r="P22" s="10"/>
      <c r="Q22" s="11"/>
    </row>
    <row r="23" customFormat="false" ht="15" hidden="false" customHeight="false" outlineLevel="0" collapsed="false">
      <c r="A23" s="18" t="str">
        <f aca="false">IF(B23="","","RA-"&amp;TEXT(ROW()-4,"000"))</f>
        <v/>
      </c>
      <c r="B23" s="10"/>
      <c r="C23" s="10"/>
      <c r="D23" s="10"/>
      <c r="E23" s="10"/>
      <c r="F23" s="23"/>
      <c r="G23" s="23"/>
      <c r="H23" s="18" t="str">
        <f aca="false">IF(OR(F23="",G23=""),"",F23*G23)</f>
        <v/>
      </c>
      <c r="I23" s="18" t="str">
        <f aca="false">IF(H23="","",IF(H23&lt;=Lists!$N$2,"Low",IF(H23&lt;=Lists!$N$3,"Medium",IF(H23&lt;=Lists!$N$4,"High","Critical"))))</f>
        <v/>
      </c>
      <c r="J23" s="10"/>
      <c r="K23" s="10"/>
      <c r="L23" s="23"/>
      <c r="M23" s="23"/>
      <c r="N23" s="18" t="str">
        <f aca="false">IF(OR(L23="",M23=""),"",L23*M23)</f>
        <v/>
      </c>
      <c r="O23" s="18" t="str">
        <f aca="false">IF(N23="","",IF(N23&lt;=Lists!$N$2,"Low",IF(N23&lt;=Lists!$N$3,"Medium",IF(N23&lt;=Lists!$N$4,"High","Critical"))))</f>
        <v/>
      </c>
      <c r="P23" s="10"/>
      <c r="Q23" s="11"/>
    </row>
    <row r="24" customFormat="false" ht="15" hidden="false" customHeight="false" outlineLevel="0" collapsed="false">
      <c r="A24" s="18" t="str">
        <f aca="false">IF(B24="","","RA-"&amp;TEXT(ROW()-4,"000"))</f>
        <v/>
      </c>
      <c r="B24" s="10"/>
      <c r="C24" s="10"/>
      <c r="D24" s="10"/>
      <c r="E24" s="10"/>
      <c r="F24" s="23"/>
      <c r="G24" s="23"/>
      <c r="H24" s="18" t="str">
        <f aca="false">IF(OR(F24="",G24=""),"",F24*G24)</f>
        <v/>
      </c>
      <c r="I24" s="18" t="str">
        <f aca="false">IF(H24="","",IF(H24&lt;=Lists!$N$2,"Low",IF(H24&lt;=Lists!$N$3,"Medium",IF(H24&lt;=Lists!$N$4,"High","Critical"))))</f>
        <v/>
      </c>
      <c r="J24" s="10"/>
      <c r="K24" s="10"/>
      <c r="L24" s="23"/>
      <c r="M24" s="23"/>
      <c r="N24" s="18" t="str">
        <f aca="false">IF(OR(L24="",M24=""),"",L24*M24)</f>
        <v/>
      </c>
      <c r="O24" s="18" t="str">
        <f aca="false">IF(N24="","",IF(N24&lt;=Lists!$N$2,"Low",IF(N24&lt;=Lists!$N$3,"Medium",IF(N24&lt;=Lists!$N$4,"High","Critical"))))</f>
        <v/>
      </c>
      <c r="P24" s="10"/>
      <c r="Q24" s="11"/>
    </row>
    <row r="25" customFormat="false" ht="15" hidden="false" customHeight="false" outlineLevel="0" collapsed="false">
      <c r="A25" s="18" t="str">
        <f aca="false">IF(B25="","","RA-"&amp;TEXT(ROW()-4,"000"))</f>
        <v/>
      </c>
      <c r="B25" s="10"/>
      <c r="C25" s="10"/>
      <c r="D25" s="10"/>
      <c r="E25" s="10"/>
      <c r="F25" s="23"/>
      <c r="G25" s="23"/>
      <c r="H25" s="18" t="str">
        <f aca="false">IF(OR(F25="",G25=""),"",F25*G25)</f>
        <v/>
      </c>
      <c r="I25" s="18" t="str">
        <f aca="false">IF(H25="","",IF(H25&lt;=Lists!$N$2,"Low",IF(H25&lt;=Lists!$N$3,"Medium",IF(H25&lt;=Lists!$N$4,"High","Critical"))))</f>
        <v/>
      </c>
      <c r="J25" s="10"/>
      <c r="K25" s="10"/>
      <c r="L25" s="23"/>
      <c r="M25" s="23"/>
      <c r="N25" s="18" t="str">
        <f aca="false">IF(OR(L25="",M25=""),"",L25*M25)</f>
        <v/>
      </c>
      <c r="O25" s="18" t="str">
        <f aca="false">IF(N25="","",IF(N25&lt;=Lists!$N$2,"Low",IF(N25&lt;=Lists!$N$3,"Medium",IF(N25&lt;=Lists!$N$4,"High","Critical"))))</f>
        <v/>
      </c>
      <c r="P25" s="10"/>
      <c r="Q25" s="11"/>
    </row>
    <row r="26" customFormat="false" ht="15" hidden="false" customHeight="false" outlineLevel="0" collapsed="false">
      <c r="A26" s="18" t="str">
        <f aca="false">IF(B26="","","RA-"&amp;TEXT(ROW()-4,"000"))</f>
        <v/>
      </c>
      <c r="B26" s="10"/>
      <c r="C26" s="10"/>
      <c r="D26" s="10"/>
      <c r="E26" s="10"/>
      <c r="F26" s="23"/>
      <c r="G26" s="23"/>
      <c r="H26" s="18" t="str">
        <f aca="false">IF(OR(F26="",G26=""),"",F26*G26)</f>
        <v/>
      </c>
      <c r="I26" s="18" t="str">
        <f aca="false">IF(H26="","",IF(H26&lt;=Lists!$N$2,"Low",IF(H26&lt;=Lists!$N$3,"Medium",IF(H26&lt;=Lists!$N$4,"High","Critical"))))</f>
        <v/>
      </c>
      <c r="J26" s="10"/>
      <c r="K26" s="10"/>
      <c r="L26" s="23"/>
      <c r="M26" s="23"/>
      <c r="N26" s="18" t="str">
        <f aca="false">IF(OR(L26="",M26=""),"",L26*M26)</f>
        <v/>
      </c>
      <c r="O26" s="18" t="str">
        <f aca="false">IF(N26="","",IF(N26&lt;=Lists!$N$2,"Low",IF(N26&lt;=Lists!$N$3,"Medium",IF(N26&lt;=Lists!$N$4,"High","Critical"))))</f>
        <v/>
      </c>
      <c r="P26" s="10"/>
      <c r="Q26" s="11"/>
    </row>
    <row r="27" customFormat="false" ht="15" hidden="false" customHeight="false" outlineLevel="0" collapsed="false">
      <c r="A27" s="18" t="str">
        <f aca="false">IF(B27="","","RA-"&amp;TEXT(ROW()-4,"000"))</f>
        <v/>
      </c>
      <c r="B27" s="10"/>
      <c r="C27" s="10"/>
      <c r="D27" s="10"/>
      <c r="E27" s="10"/>
      <c r="F27" s="23"/>
      <c r="G27" s="23"/>
      <c r="H27" s="18" t="str">
        <f aca="false">IF(OR(F27="",G27=""),"",F27*G27)</f>
        <v/>
      </c>
      <c r="I27" s="18" t="str">
        <f aca="false">IF(H27="","",IF(H27&lt;=Lists!$N$2,"Low",IF(H27&lt;=Lists!$N$3,"Medium",IF(H27&lt;=Lists!$N$4,"High","Critical"))))</f>
        <v/>
      </c>
      <c r="J27" s="10"/>
      <c r="K27" s="10"/>
      <c r="L27" s="23"/>
      <c r="M27" s="23"/>
      <c r="N27" s="18" t="str">
        <f aca="false">IF(OR(L27="",M27=""),"",L27*M27)</f>
        <v/>
      </c>
      <c r="O27" s="18" t="str">
        <f aca="false">IF(N27="","",IF(N27&lt;=Lists!$N$2,"Low",IF(N27&lt;=Lists!$N$3,"Medium",IF(N27&lt;=Lists!$N$4,"High","Critical"))))</f>
        <v/>
      </c>
      <c r="P27" s="10"/>
      <c r="Q27" s="11"/>
    </row>
    <row r="28" customFormat="false" ht="15" hidden="false" customHeight="false" outlineLevel="0" collapsed="false">
      <c r="A28" s="18" t="str">
        <f aca="false">IF(B28="","","RA-"&amp;TEXT(ROW()-4,"000"))</f>
        <v/>
      </c>
      <c r="B28" s="10"/>
      <c r="C28" s="10"/>
      <c r="D28" s="10"/>
      <c r="E28" s="10"/>
      <c r="F28" s="23"/>
      <c r="G28" s="23"/>
      <c r="H28" s="18" t="str">
        <f aca="false">IF(OR(F28="",G28=""),"",F28*G28)</f>
        <v/>
      </c>
      <c r="I28" s="18" t="str">
        <f aca="false">IF(H28="","",IF(H28&lt;=Lists!$N$2,"Low",IF(H28&lt;=Lists!$N$3,"Medium",IF(H28&lt;=Lists!$N$4,"High","Critical"))))</f>
        <v/>
      </c>
      <c r="J28" s="10"/>
      <c r="K28" s="10"/>
      <c r="L28" s="23"/>
      <c r="M28" s="23"/>
      <c r="N28" s="18" t="str">
        <f aca="false">IF(OR(L28="",M28=""),"",L28*M28)</f>
        <v/>
      </c>
      <c r="O28" s="18" t="str">
        <f aca="false">IF(N28="","",IF(N28&lt;=Lists!$N$2,"Low",IF(N28&lt;=Lists!$N$3,"Medium",IF(N28&lt;=Lists!$N$4,"High","Critical"))))</f>
        <v/>
      </c>
      <c r="P28" s="10"/>
      <c r="Q28" s="11"/>
    </row>
    <row r="29" customFormat="false" ht="15" hidden="false" customHeight="false" outlineLevel="0" collapsed="false">
      <c r="A29" s="18" t="str">
        <f aca="false">IF(B29="","","RA-"&amp;TEXT(ROW()-4,"000"))</f>
        <v/>
      </c>
      <c r="B29" s="10"/>
      <c r="C29" s="10"/>
      <c r="D29" s="10"/>
      <c r="E29" s="10"/>
      <c r="F29" s="23"/>
      <c r="G29" s="23"/>
      <c r="H29" s="18" t="str">
        <f aca="false">IF(OR(F29="",G29=""),"",F29*G29)</f>
        <v/>
      </c>
      <c r="I29" s="18" t="str">
        <f aca="false">IF(H29="","",IF(H29&lt;=Lists!$N$2,"Low",IF(H29&lt;=Lists!$N$3,"Medium",IF(H29&lt;=Lists!$N$4,"High","Critical"))))</f>
        <v/>
      </c>
      <c r="J29" s="10"/>
      <c r="K29" s="10"/>
      <c r="L29" s="23"/>
      <c r="M29" s="23"/>
      <c r="N29" s="18" t="str">
        <f aca="false">IF(OR(L29="",M29=""),"",L29*M29)</f>
        <v/>
      </c>
      <c r="O29" s="18" t="str">
        <f aca="false">IF(N29="","",IF(N29&lt;=Lists!$N$2,"Low",IF(N29&lt;=Lists!$N$3,"Medium",IF(N29&lt;=Lists!$N$4,"High","Critical"))))</f>
        <v/>
      </c>
      <c r="P29" s="10"/>
      <c r="Q29" s="11"/>
    </row>
    <row r="30" customFormat="false" ht="15" hidden="false" customHeight="false" outlineLevel="0" collapsed="false">
      <c r="A30" s="18" t="str">
        <f aca="false">IF(B30="","","RA-"&amp;TEXT(ROW()-4,"000"))</f>
        <v/>
      </c>
      <c r="B30" s="10"/>
      <c r="C30" s="10"/>
      <c r="D30" s="10"/>
      <c r="E30" s="10"/>
      <c r="F30" s="23"/>
      <c r="G30" s="23"/>
      <c r="H30" s="18" t="str">
        <f aca="false">IF(OR(F30="",G30=""),"",F30*G30)</f>
        <v/>
      </c>
      <c r="I30" s="18" t="str">
        <f aca="false">IF(H30="","",IF(H30&lt;=Lists!$N$2,"Low",IF(H30&lt;=Lists!$N$3,"Medium",IF(H30&lt;=Lists!$N$4,"High","Critical"))))</f>
        <v/>
      </c>
      <c r="J30" s="10"/>
      <c r="K30" s="10"/>
      <c r="L30" s="23"/>
      <c r="M30" s="23"/>
      <c r="N30" s="18" t="str">
        <f aca="false">IF(OR(L30="",M30=""),"",L30*M30)</f>
        <v/>
      </c>
      <c r="O30" s="18" t="str">
        <f aca="false">IF(N30="","",IF(N30&lt;=Lists!$N$2,"Low",IF(N30&lt;=Lists!$N$3,"Medium",IF(N30&lt;=Lists!$N$4,"High","Critical"))))</f>
        <v/>
      </c>
      <c r="P30" s="10"/>
      <c r="Q30" s="11"/>
    </row>
    <row r="31" customFormat="false" ht="15" hidden="false" customHeight="false" outlineLevel="0" collapsed="false">
      <c r="A31" s="18" t="str">
        <f aca="false">IF(B31="","","RA-"&amp;TEXT(ROW()-4,"000"))</f>
        <v/>
      </c>
      <c r="B31" s="10"/>
      <c r="C31" s="10"/>
      <c r="D31" s="10"/>
      <c r="E31" s="10"/>
      <c r="F31" s="23"/>
      <c r="G31" s="23"/>
      <c r="H31" s="18" t="str">
        <f aca="false">IF(OR(F31="",G31=""),"",F31*G31)</f>
        <v/>
      </c>
      <c r="I31" s="18" t="str">
        <f aca="false">IF(H31="","",IF(H31&lt;=Lists!$N$2,"Low",IF(H31&lt;=Lists!$N$3,"Medium",IF(H31&lt;=Lists!$N$4,"High","Critical"))))</f>
        <v/>
      </c>
      <c r="J31" s="10"/>
      <c r="K31" s="10"/>
      <c r="L31" s="23"/>
      <c r="M31" s="23"/>
      <c r="N31" s="18" t="str">
        <f aca="false">IF(OR(L31="",M31=""),"",L31*M31)</f>
        <v/>
      </c>
      <c r="O31" s="18" t="str">
        <f aca="false">IF(N31="","",IF(N31&lt;=Lists!$N$2,"Low",IF(N31&lt;=Lists!$N$3,"Medium",IF(N31&lt;=Lists!$N$4,"High","Critical"))))</f>
        <v/>
      </c>
      <c r="P31" s="10"/>
      <c r="Q31" s="11"/>
    </row>
    <row r="32" customFormat="false" ht="15" hidden="false" customHeight="false" outlineLevel="0" collapsed="false">
      <c r="A32" s="18" t="str">
        <f aca="false">IF(B32="","","RA-"&amp;TEXT(ROW()-4,"000"))</f>
        <v/>
      </c>
      <c r="B32" s="10"/>
      <c r="C32" s="10"/>
      <c r="D32" s="10"/>
      <c r="E32" s="10"/>
      <c r="F32" s="23"/>
      <c r="G32" s="23"/>
      <c r="H32" s="18" t="str">
        <f aca="false">IF(OR(F32="",G32=""),"",F32*G32)</f>
        <v/>
      </c>
      <c r="I32" s="18" t="str">
        <f aca="false">IF(H32="","",IF(H32&lt;=Lists!$N$2,"Low",IF(H32&lt;=Lists!$N$3,"Medium",IF(H32&lt;=Lists!$N$4,"High","Critical"))))</f>
        <v/>
      </c>
      <c r="J32" s="10"/>
      <c r="K32" s="10"/>
      <c r="L32" s="23"/>
      <c r="M32" s="23"/>
      <c r="N32" s="18" t="str">
        <f aca="false">IF(OR(L32="",M32=""),"",L32*M32)</f>
        <v/>
      </c>
      <c r="O32" s="18" t="str">
        <f aca="false">IF(N32="","",IF(N32&lt;=Lists!$N$2,"Low",IF(N32&lt;=Lists!$N$3,"Medium",IF(N32&lt;=Lists!$N$4,"High","Critical"))))</f>
        <v/>
      </c>
      <c r="P32" s="10"/>
      <c r="Q32" s="11"/>
    </row>
    <row r="33" customFormat="false" ht="15" hidden="false" customHeight="false" outlineLevel="0" collapsed="false">
      <c r="A33" s="18" t="str">
        <f aca="false">IF(B33="","","RA-"&amp;TEXT(ROW()-4,"000"))</f>
        <v/>
      </c>
      <c r="B33" s="10"/>
      <c r="C33" s="10"/>
      <c r="D33" s="10"/>
      <c r="E33" s="10"/>
      <c r="F33" s="23"/>
      <c r="G33" s="23"/>
      <c r="H33" s="18" t="str">
        <f aca="false">IF(OR(F33="",G33=""),"",F33*G33)</f>
        <v/>
      </c>
      <c r="I33" s="18" t="str">
        <f aca="false">IF(H33="","",IF(H33&lt;=Lists!$N$2,"Low",IF(H33&lt;=Lists!$N$3,"Medium",IF(H33&lt;=Lists!$N$4,"High","Critical"))))</f>
        <v/>
      </c>
      <c r="J33" s="10"/>
      <c r="K33" s="10"/>
      <c r="L33" s="23"/>
      <c r="M33" s="23"/>
      <c r="N33" s="18" t="str">
        <f aca="false">IF(OR(L33="",M33=""),"",L33*M33)</f>
        <v/>
      </c>
      <c r="O33" s="18" t="str">
        <f aca="false">IF(N33="","",IF(N33&lt;=Lists!$N$2,"Low",IF(N33&lt;=Lists!$N$3,"Medium",IF(N33&lt;=Lists!$N$4,"High","Critical"))))</f>
        <v/>
      </c>
      <c r="P33" s="10"/>
      <c r="Q33" s="11"/>
    </row>
    <row r="34" customFormat="false" ht="15" hidden="false" customHeight="false" outlineLevel="0" collapsed="false">
      <c r="A34" s="18" t="str">
        <f aca="false">IF(B34="","","RA-"&amp;TEXT(ROW()-4,"000"))</f>
        <v/>
      </c>
      <c r="B34" s="10"/>
      <c r="C34" s="10"/>
      <c r="D34" s="10"/>
      <c r="E34" s="10"/>
      <c r="F34" s="23"/>
      <c r="G34" s="23"/>
      <c r="H34" s="18" t="str">
        <f aca="false">IF(OR(F34="",G34=""),"",F34*G34)</f>
        <v/>
      </c>
      <c r="I34" s="18" t="str">
        <f aca="false">IF(H34="","",IF(H34&lt;=Lists!$N$2,"Low",IF(H34&lt;=Lists!$N$3,"Medium",IF(H34&lt;=Lists!$N$4,"High","Critical"))))</f>
        <v/>
      </c>
      <c r="J34" s="10"/>
      <c r="K34" s="10"/>
      <c r="L34" s="23"/>
      <c r="M34" s="23"/>
      <c r="N34" s="18" t="str">
        <f aca="false">IF(OR(L34="",M34=""),"",L34*M34)</f>
        <v/>
      </c>
      <c r="O34" s="18" t="str">
        <f aca="false">IF(N34="","",IF(N34&lt;=Lists!$N$2,"Low",IF(N34&lt;=Lists!$N$3,"Medium",IF(N34&lt;=Lists!$N$4,"High","Critical"))))</f>
        <v/>
      </c>
      <c r="P34" s="10"/>
      <c r="Q34" s="11"/>
    </row>
    <row r="35" customFormat="false" ht="15" hidden="false" customHeight="false" outlineLevel="0" collapsed="false">
      <c r="A35" s="18" t="str">
        <f aca="false">IF(B35="","","RA-"&amp;TEXT(ROW()-4,"000"))</f>
        <v/>
      </c>
      <c r="B35" s="10"/>
      <c r="C35" s="10"/>
      <c r="D35" s="10"/>
      <c r="E35" s="10"/>
      <c r="F35" s="23"/>
      <c r="G35" s="23"/>
      <c r="H35" s="18" t="str">
        <f aca="false">IF(OR(F35="",G35=""),"",F35*G35)</f>
        <v/>
      </c>
      <c r="I35" s="18" t="str">
        <f aca="false">IF(H35="","",IF(H35&lt;=Lists!$N$2,"Low",IF(H35&lt;=Lists!$N$3,"Medium",IF(H35&lt;=Lists!$N$4,"High","Critical"))))</f>
        <v/>
      </c>
      <c r="J35" s="10"/>
      <c r="K35" s="10"/>
      <c r="L35" s="23"/>
      <c r="M35" s="23"/>
      <c r="N35" s="18" t="str">
        <f aca="false">IF(OR(L35="",M35=""),"",L35*M35)</f>
        <v/>
      </c>
      <c r="O35" s="18" t="str">
        <f aca="false">IF(N35="","",IF(N35&lt;=Lists!$N$2,"Low",IF(N35&lt;=Lists!$N$3,"Medium",IF(N35&lt;=Lists!$N$4,"High","Critical"))))</f>
        <v/>
      </c>
      <c r="P35" s="10"/>
      <c r="Q35" s="11"/>
    </row>
    <row r="36" customFormat="false" ht="15" hidden="false" customHeight="false" outlineLevel="0" collapsed="false">
      <c r="A36" s="18" t="str">
        <f aca="false">IF(B36="","","RA-"&amp;TEXT(ROW()-4,"000"))</f>
        <v/>
      </c>
      <c r="B36" s="10"/>
      <c r="C36" s="10"/>
      <c r="D36" s="10"/>
      <c r="E36" s="10"/>
      <c r="F36" s="23"/>
      <c r="G36" s="23"/>
      <c r="H36" s="18" t="str">
        <f aca="false">IF(OR(F36="",G36=""),"",F36*G36)</f>
        <v/>
      </c>
      <c r="I36" s="18" t="str">
        <f aca="false">IF(H36="","",IF(H36&lt;=Lists!$N$2,"Low",IF(H36&lt;=Lists!$N$3,"Medium",IF(H36&lt;=Lists!$N$4,"High","Critical"))))</f>
        <v/>
      </c>
      <c r="J36" s="10"/>
      <c r="K36" s="10"/>
      <c r="L36" s="23"/>
      <c r="M36" s="23"/>
      <c r="N36" s="18" t="str">
        <f aca="false">IF(OR(L36="",M36=""),"",L36*M36)</f>
        <v/>
      </c>
      <c r="O36" s="18" t="str">
        <f aca="false">IF(N36="","",IF(N36&lt;=Lists!$N$2,"Low",IF(N36&lt;=Lists!$N$3,"Medium",IF(N36&lt;=Lists!$N$4,"High","Critical"))))</f>
        <v/>
      </c>
      <c r="P36" s="10"/>
      <c r="Q36" s="11"/>
    </row>
    <row r="37" customFormat="false" ht="15" hidden="false" customHeight="false" outlineLevel="0" collapsed="false">
      <c r="A37" s="18" t="str">
        <f aca="false">IF(B37="","","RA-"&amp;TEXT(ROW()-4,"000"))</f>
        <v/>
      </c>
      <c r="B37" s="10"/>
      <c r="C37" s="10"/>
      <c r="D37" s="10"/>
      <c r="E37" s="10"/>
      <c r="F37" s="23"/>
      <c r="G37" s="23"/>
      <c r="H37" s="18" t="str">
        <f aca="false">IF(OR(F37="",G37=""),"",F37*G37)</f>
        <v/>
      </c>
      <c r="I37" s="18" t="str">
        <f aca="false">IF(H37="","",IF(H37&lt;=Lists!$N$2,"Low",IF(H37&lt;=Lists!$N$3,"Medium",IF(H37&lt;=Lists!$N$4,"High","Critical"))))</f>
        <v/>
      </c>
      <c r="J37" s="10"/>
      <c r="K37" s="10"/>
      <c r="L37" s="23"/>
      <c r="M37" s="23"/>
      <c r="N37" s="18" t="str">
        <f aca="false">IF(OR(L37="",M37=""),"",L37*M37)</f>
        <v/>
      </c>
      <c r="O37" s="18" t="str">
        <f aca="false">IF(N37="","",IF(N37&lt;=Lists!$N$2,"Low",IF(N37&lt;=Lists!$N$3,"Medium",IF(N37&lt;=Lists!$N$4,"High","Critical"))))</f>
        <v/>
      </c>
      <c r="P37" s="10"/>
      <c r="Q37" s="11"/>
    </row>
    <row r="38" customFormat="false" ht="15" hidden="false" customHeight="false" outlineLevel="0" collapsed="false">
      <c r="A38" s="18" t="str">
        <f aca="false">IF(B38="","","RA-"&amp;TEXT(ROW()-4,"000"))</f>
        <v/>
      </c>
      <c r="B38" s="10"/>
      <c r="C38" s="10"/>
      <c r="D38" s="10"/>
      <c r="E38" s="10"/>
      <c r="F38" s="23"/>
      <c r="G38" s="23"/>
      <c r="H38" s="18" t="str">
        <f aca="false">IF(OR(F38="",G38=""),"",F38*G38)</f>
        <v/>
      </c>
      <c r="I38" s="18" t="str">
        <f aca="false">IF(H38="","",IF(H38&lt;=Lists!$N$2,"Low",IF(H38&lt;=Lists!$N$3,"Medium",IF(H38&lt;=Lists!$N$4,"High","Critical"))))</f>
        <v/>
      </c>
      <c r="J38" s="10"/>
      <c r="K38" s="10"/>
      <c r="L38" s="23"/>
      <c r="M38" s="23"/>
      <c r="N38" s="18" t="str">
        <f aca="false">IF(OR(L38="",M38=""),"",L38*M38)</f>
        <v/>
      </c>
      <c r="O38" s="18" t="str">
        <f aca="false">IF(N38="","",IF(N38&lt;=Lists!$N$2,"Low",IF(N38&lt;=Lists!$N$3,"Medium",IF(N38&lt;=Lists!$N$4,"High","Critical"))))</f>
        <v/>
      </c>
      <c r="P38" s="10"/>
      <c r="Q38" s="11"/>
    </row>
    <row r="39" customFormat="false" ht="15" hidden="false" customHeight="false" outlineLevel="0" collapsed="false">
      <c r="A39" s="18" t="str">
        <f aca="false">IF(B39="","","RA-"&amp;TEXT(ROW()-4,"000"))</f>
        <v/>
      </c>
      <c r="B39" s="10"/>
      <c r="C39" s="10"/>
      <c r="D39" s="10"/>
      <c r="E39" s="10"/>
      <c r="F39" s="23"/>
      <c r="G39" s="23"/>
      <c r="H39" s="18" t="str">
        <f aca="false">IF(OR(F39="",G39=""),"",F39*G39)</f>
        <v/>
      </c>
      <c r="I39" s="18" t="str">
        <f aca="false">IF(H39="","",IF(H39&lt;=Lists!$N$2,"Low",IF(H39&lt;=Lists!$N$3,"Medium",IF(H39&lt;=Lists!$N$4,"High","Critical"))))</f>
        <v/>
      </c>
      <c r="J39" s="10"/>
      <c r="K39" s="10"/>
      <c r="L39" s="23"/>
      <c r="M39" s="23"/>
      <c r="N39" s="18" t="str">
        <f aca="false">IF(OR(L39="",M39=""),"",L39*M39)</f>
        <v/>
      </c>
      <c r="O39" s="18" t="str">
        <f aca="false">IF(N39="","",IF(N39&lt;=Lists!$N$2,"Low",IF(N39&lt;=Lists!$N$3,"Medium",IF(N39&lt;=Lists!$N$4,"High","Critical"))))</f>
        <v/>
      </c>
      <c r="P39" s="10"/>
      <c r="Q39" s="11"/>
    </row>
    <row r="40" customFormat="false" ht="15" hidden="false" customHeight="false" outlineLevel="0" collapsed="false">
      <c r="A40" s="18" t="str">
        <f aca="false">IF(B40="","","RA-"&amp;TEXT(ROW()-4,"000"))</f>
        <v/>
      </c>
      <c r="B40" s="10"/>
      <c r="C40" s="10"/>
      <c r="D40" s="10"/>
      <c r="E40" s="10"/>
      <c r="F40" s="23"/>
      <c r="G40" s="23"/>
      <c r="H40" s="18" t="str">
        <f aca="false">IF(OR(F40="",G40=""),"",F40*G40)</f>
        <v/>
      </c>
      <c r="I40" s="18" t="str">
        <f aca="false">IF(H40="","",IF(H40&lt;=Lists!$N$2,"Low",IF(H40&lt;=Lists!$N$3,"Medium",IF(H40&lt;=Lists!$N$4,"High","Critical"))))</f>
        <v/>
      </c>
      <c r="J40" s="10"/>
      <c r="K40" s="10"/>
      <c r="L40" s="23"/>
      <c r="M40" s="23"/>
      <c r="N40" s="18" t="str">
        <f aca="false">IF(OR(L40="",M40=""),"",L40*M40)</f>
        <v/>
      </c>
      <c r="O40" s="18" t="str">
        <f aca="false">IF(N40="","",IF(N40&lt;=Lists!$N$2,"Low",IF(N40&lt;=Lists!$N$3,"Medium",IF(N40&lt;=Lists!$N$4,"High","Critical"))))</f>
        <v/>
      </c>
      <c r="P40" s="10"/>
      <c r="Q40" s="11"/>
    </row>
    <row r="41" customFormat="false" ht="15" hidden="false" customHeight="false" outlineLevel="0" collapsed="false">
      <c r="A41" s="18" t="str">
        <f aca="false">IF(B41="","","RA-"&amp;TEXT(ROW()-4,"000"))</f>
        <v/>
      </c>
      <c r="B41" s="10"/>
      <c r="C41" s="10"/>
      <c r="D41" s="10"/>
      <c r="E41" s="10"/>
      <c r="F41" s="23"/>
      <c r="G41" s="23"/>
      <c r="H41" s="18" t="str">
        <f aca="false">IF(OR(F41="",G41=""),"",F41*G41)</f>
        <v/>
      </c>
      <c r="I41" s="18" t="str">
        <f aca="false">IF(H41="","",IF(H41&lt;=Lists!$N$2,"Low",IF(H41&lt;=Lists!$N$3,"Medium",IF(H41&lt;=Lists!$N$4,"High","Critical"))))</f>
        <v/>
      </c>
      <c r="J41" s="10"/>
      <c r="K41" s="10"/>
      <c r="L41" s="23"/>
      <c r="M41" s="23"/>
      <c r="N41" s="18" t="str">
        <f aca="false">IF(OR(L41="",M41=""),"",L41*M41)</f>
        <v/>
      </c>
      <c r="O41" s="18" t="str">
        <f aca="false">IF(N41="","",IF(N41&lt;=Lists!$N$2,"Low",IF(N41&lt;=Lists!$N$3,"Medium",IF(N41&lt;=Lists!$N$4,"High","Critical"))))</f>
        <v/>
      </c>
      <c r="P41" s="10"/>
      <c r="Q41" s="11"/>
    </row>
    <row r="42" customFormat="false" ht="15" hidden="false" customHeight="false" outlineLevel="0" collapsed="false">
      <c r="A42" s="18" t="str">
        <f aca="false">IF(B42="","","RA-"&amp;TEXT(ROW()-4,"000"))</f>
        <v/>
      </c>
      <c r="B42" s="10"/>
      <c r="C42" s="10"/>
      <c r="D42" s="10"/>
      <c r="E42" s="10"/>
      <c r="F42" s="23"/>
      <c r="G42" s="23"/>
      <c r="H42" s="18" t="str">
        <f aca="false">IF(OR(F42="",G42=""),"",F42*G42)</f>
        <v/>
      </c>
      <c r="I42" s="18" t="str">
        <f aca="false">IF(H42="","",IF(H42&lt;=Lists!$N$2,"Low",IF(H42&lt;=Lists!$N$3,"Medium",IF(H42&lt;=Lists!$N$4,"High","Critical"))))</f>
        <v/>
      </c>
      <c r="J42" s="10"/>
      <c r="K42" s="10"/>
      <c r="L42" s="23"/>
      <c r="M42" s="23"/>
      <c r="N42" s="18" t="str">
        <f aca="false">IF(OR(L42="",M42=""),"",L42*M42)</f>
        <v/>
      </c>
      <c r="O42" s="18" t="str">
        <f aca="false">IF(N42="","",IF(N42&lt;=Lists!$N$2,"Low",IF(N42&lt;=Lists!$N$3,"Medium",IF(N42&lt;=Lists!$N$4,"High","Critical"))))</f>
        <v/>
      </c>
      <c r="P42" s="10"/>
      <c r="Q42" s="11"/>
    </row>
    <row r="43" customFormat="false" ht="15" hidden="false" customHeight="false" outlineLevel="0" collapsed="false">
      <c r="A43" s="18" t="str">
        <f aca="false">IF(B43="","","RA-"&amp;TEXT(ROW()-4,"000"))</f>
        <v/>
      </c>
      <c r="B43" s="10"/>
      <c r="C43" s="10"/>
      <c r="D43" s="10"/>
      <c r="E43" s="10"/>
      <c r="F43" s="23"/>
      <c r="G43" s="23"/>
      <c r="H43" s="18" t="str">
        <f aca="false">IF(OR(F43="",G43=""),"",F43*G43)</f>
        <v/>
      </c>
      <c r="I43" s="18" t="str">
        <f aca="false">IF(H43="","",IF(H43&lt;=Lists!$N$2,"Low",IF(H43&lt;=Lists!$N$3,"Medium",IF(H43&lt;=Lists!$N$4,"High","Critical"))))</f>
        <v/>
      </c>
      <c r="J43" s="10"/>
      <c r="K43" s="10"/>
      <c r="L43" s="23"/>
      <c r="M43" s="23"/>
      <c r="N43" s="18" t="str">
        <f aca="false">IF(OR(L43="",M43=""),"",L43*M43)</f>
        <v/>
      </c>
      <c r="O43" s="18" t="str">
        <f aca="false">IF(N43="","",IF(N43&lt;=Lists!$N$2,"Low",IF(N43&lt;=Lists!$N$3,"Medium",IF(N43&lt;=Lists!$N$4,"High","Critical"))))</f>
        <v/>
      </c>
      <c r="P43" s="10"/>
      <c r="Q43" s="11"/>
    </row>
    <row r="44" customFormat="false" ht="15" hidden="false" customHeight="false" outlineLevel="0" collapsed="false">
      <c r="A44" s="18" t="str">
        <f aca="false">IF(B44="","","RA-"&amp;TEXT(ROW()-4,"000"))</f>
        <v/>
      </c>
      <c r="B44" s="10"/>
      <c r="C44" s="10"/>
      <c r="D44" s="10"/>
      <c r="E44" s="10"/>
      <c r="F44" s="23"/>
      <c r="G44" s="23"/>
      <c r="H44" s="18" t="str">
        <f aca="false">IF(OR(F44="",G44=""),"",F44*G44)</f>
        <v/>
      </c>
      <c r="I44" s="18" t="str">
        <f aca="false">IF(H44="","",IF(H44&lt;=Lists!$N$2,"Low",IF(H44&lt;=Lists!$N$3,"Medium",IF(H44&lt;=Lists!$N$4,"High","Critical"))))</f>
        <v/>
      </c>
      <c r="J44" s="10"/>
      <c r="K44" s="10"/>
      <c r="L44" s="23"/>
      <c r="M44" s="23"/>
      <c r="N44" s="18" t="str">
        <f aca="false">IF(OR(L44="",M44=""),"",L44*M44)</f>
        <v/>
      </c>
      <c r="O44" s="18" t="str">
        <f aca="false">IF(N44="","",IF(N44&lt;=Lists!$N$2,"Low",IF(N44&lt;=Lists!$N$3,"Medium",IF(N44&lt;=Lists!$N$4,"High","Critical"))))</f>
        <v/>
      </c>
      <c r="P44" s="10"/>
      <c r="Q44" s="11"/>
    </row>
    <row r="45" customFormat="false" ht="15" hidden="false" customHeight="false" outlineLevel="0" collapsed="false">
      <c r="A45" s="18" t="str">
        <f aca="false">IF(B45="","","RA-"&amp;TEXT(ROW()-4,"000"))</f>
        <v/>
      </c>
      <c r="B45" s="10"/>
      <c r="C45" s="10"/>
      <c r="D45" s="10"/>
      <c r="E45" s="10"/>
      <c r="F45" s="23"/>
      <c r="G45" s="23"/>
      <c r="H45" s="18" t="str">
        <f aca="false">IF(OR(F45="",G45=""),"",F45*G45)</f>
        <v/>
      </c>
      <c r="I45" s="18" t="str">
        <f aca="false">IF(H45="","",IF(H45&lt;=Lists!$N$2,"Low",IF(H45&lt;=Lists!$N$3,"Medium",IF(H45&lt;=Lists!$N$4,"High","Critical"))))</f>
        <v/>
      </c>
      <c r="J45" s="10"/>
      <c r="K45" s="10"/>
      <c r="L45" s="23"/>
      <c r="M45" s="23"/>
      <c r="N45" s="18" t="str">
        <f aca="false">IF(OR(L45="",M45=""),"",L45*M45)</f>
        <v/>
      </c>
      <c r="O45" s="18" t="str">
        <f aca="false">IF(N45="","",IF(N45&lt;=Lists!$N$2,"Low",IF(N45&lt;=Lists!$N$3,"Medium",IF(N45&lt;=Lists!$N$4,"High","Critical"))))</f>
        <v/>
      </c>
      <c r="P45" s="10"/>
      <c r="Q45" s="11"/>
    </row>
    <row r="46" customFormat="false" ht="15" hidden="false" customHeight="false" outlineLevel="0" collapsed="false">
      <c r="A46" s="18" t="str">
        <f aca="false">IF(B46="","","RA-"&amp;TEXT(ROW()-4,"000"))</f>
        <v/>
      </c>
      <c r="B46" s="10"/>
      <c r="C46" s="10"/>
      <c r="D46" s="10"/>
      <c r="E46" s="10"/>
      <c r="F46" s="23"/>
      <c r="G46" s="23"/>
      <c r="H46" s="18" t="str">
        <f aca="false">IF(OR(F46="",G46=""),"",F46*G46)</f>
        <v/>
      </c>
      <c r="I46" s="18" t="str">
        <f aca="false">IF(H46="","",IF(H46&lt;=Lists!$N$2,"Low",IF(H46&lt;=Lists!$N$3,"Medium",IF(H46&lt;=Lists!$N$4,"High","Critical"))))</f>
        <v/>
      </c>
      <c r="J46" s="10"/>
      <c r="K46" s="10"/>
      <c r="L46" s="23"/>
      <c r="M46" s="23"/>
      <c r="N46" s="18" t="str">
        <f aca="false">IF(OR(L46="",M46=""),"",L46*M46)</f>
        <v/>
      </c>
      <c r="O46" s="18" t="str">
        <f aca="false">IF(N46="","",IF(N46&lt;=Lists!$N$2,"Low",IF(N46&lt;=Lists!$N$3,"Medium",IF(N46&lt;=Lists!$N$4,"High","Critical"))))</f>
        <v/>
      </c>
      <c r="P46" s="10"/>
      <c r="Q46" s="11"/>
    </row>
    <row r="47" customFormat="false" ht="15" hidden="false" customHeight="false" outlineLevel="0" collapsed="false">
      <c r="A47" s="18" t="str">
        <f aca="false">IF(B47="","","RA-"&amp;TEXT(ROW()-4,"000"))</f>
        <v/>
      </c>
      <c r="B47" s="10"/>
      <c r="C47" s="10"/>
      <c r="D47" s="10"/>
      <c r="E47" s="10"/>
      <c r="F47" s="23"/>
      <c r="G47" s="23"/>
      <c r="H47" s="18" t="str">
        <f aca="false">IF(OR(F47="",G47=""),"",F47*G47)</f>
        <v/>
      </c>
      <c r="I47" s="18" t="str">
        <f aca="false">IF(H47="","",IF(H47&lt;=Lists!$N$2,"Low",IF(H47&lt;=Lists!$N$3,"Medium",IF(H47&lt;=Lists!$N$4,"High","Critical"))))</f>
        <v/>
      </c>
      <c r="J47" s="10"/>
      <c r="K47" s="10"/>
      <c r="L47" s="23"/>
      <c r="M47" s="23"/>
      <c r="N47" s="18" t="str">
        <f aca="false">IF(OR(L47="",M47=""),"",L47*M47)</f>
        <v/>
      </c>
      <c r="O47" s="18" t="str">
        <f aca="false">IF(N47="","",IF(N47&lt;=Lists!$N$2,"Low",IF(N47&lt;=Lists!$N$3,"Medium",IF(N47&lt;=Lists!$N$4,"High","Critical"))))</f>
        <v/>
      </c>
      <c r="P47" s="10"/>
      <c r="Q47" s="11"/>
    </row>
    <row r="48" customFormat="false" ht="15" hidden="false" customHeight="false" outlineLevel="0" collapsed="false">
      <c r="A48" s="18" t="str">
        <f aca="false">IF(B48="","","RA-"&amp;TEXT(ROW()-4,"000"))</f>
        <v/>
      </c>
      <c r="B48" s="10"/>
      <c r="C48" s="10"/>
      <c r="D48" s="10"/>
      <c r="E48" s="10"/>
      <c r="F48" s="23"/>
      <c r="G48" s="23"/>
      <c r="H48" s="18" t="str">
        <f aca="false">IF(OR(F48="",G48=""),"",F48*G48)</f>
        <v/>
      </c>
      <c r="I48" s="18" t="str">
        <f aca="false">IF(H48="","",IF(H48&lt;=Lists!$N$2,"Low",IF(H48&lt;=Lists!$N$3,"Medium",IF(H48&lt;=Lists!$N$4,"High","Critical"))))</f>
        <v/>
      </c>
      <c r="J48" s="10"/>
      <c r="K48" s="10"/>
      <c r="L48" s="23"/>
      <c r="M48" s="23"/>
      <c r="N48" s="18" t="str">
        <f aca="false">IF(OR(L48="",M48=""),"",L48*M48)</f>
        <v/>
      </c>
      <c r="O48" s="18" t="str">
        <f aca="false">IF(N48="","",IF(N48&lt;=Lists!$N$2,"Low",IF(N48&lt;=Lists!$N$3,"Medium",IF(N48&lt;=Lists!$N$4,"High","Critical"))))</f>
        <v/>
      </c>
      <c r="P48" s="10"/>
      <c r="Q48" s="11"/>
    </row>
    <row r="49" customFormat="false" ht="15" hidden="false" customHeight="false" outlineLevel="0" collapsed="false">
      <c r="A49" s="18" t="str">
        <f aca="false">IF(B49="","","RA-"&amp;TEXT(ROW()-4,"000"))</f>
        <v/>
      </c>
      <c r="B49" s="10"/>
      <c r="C49" s="10"/>
      <c r="D49" s="10"/>
      <c r="E49" s="10"/>
      <c r="F49" s="23"/>
      <c r="G49" s="23"/>
      <c r="H49" s="18" t="str">
        <f aca="false">IF(OR(F49="",G49=""),"",F49*G49)</f>
        <v/>
      </c>
      <c r="I49" s="18" t="str">
        <f aca="false">IF(H49="","",IF(H49&lt;=Lists!$N$2,"Low",IF(H49&lt;=Lists!$N$3,"Medium",IF(H49&lt;=Lists!$N$4,"High","Critical"))))</f>
        <v/>
      </c>
      <c r="J49" s="10"/>
      <c r="K49" s="10"/>
      <c r="L49" s="23"/>
      <c r="M49" s="23"/>
      <c r="N49" s="18" t="str">
        <f aca="false">IF(OR(L49="",M49=""),"",L49*M49)</f>
        <v/>
      </c>
      <c r="O49" s="18" t="str">
        <f aca="false">IF(N49="","",IF(N49&lt;=Lists!$N$2,"Low",IF(N49&lt;=Lists!$N$3,"Medium",IF(N49&lt;=Lists!$N$4,"High","Critical"))))</f>
        <v/>
      </c>
      <c r="P49" s="10"/>
      <c r="Q49" s="11"/>
    </row>
    <row r="50" customFormat="false" ht="15" hidden="false" customHeight="false" outlineLevel="0" collapsed="false">
      <c r="A50" s="18" t="str">
        <f aca="false">IF(B50="","","RA-"&amp;TEXT(ROW()-4,"000"))</f>
        <v/>
      </c>
      <c r="B50" s="10"/>
      <c r="C50" s="10"/>
      <c r="D50" s="10"/>
      <c r="E50" s="10"/>
      <c r="F50" s="23"/>
      <c r="G50" s="23"/>
      <c r="H50" s="18" t="str">
        <f aca="false">IF(OR(F50="",G50=""),"",F50*G50)</f>
        <v/>
      </c>
      <c r="I50" s="18" t="str">
        <f aca="false">IF(H50="","",IF(H50&lt;=Lists!$N$2,"Low",IF(H50&lt;=Lists!$N$3,"Medium",IF(H50&lt;=Lists!$N$4,"High","Critical"))))</f>
        <v/>
      </c>
      <c r="J50" s="10"/>
      <c r="K50" s="10"/>
      <c r="L50" s="23"/>
      <c r="M50" s="23"/>
      <c r="N50" s="18" t="str">
        <f aca="false">IF(OR(L50="",M50=""),"",L50*M50)</f>
        <v/>
      </c>
      <c r="O50" s="18" t="str">
        <f aca="false">IF(N50="","",IF(N50&lt;=Lists!$N$2,"Low",IF(N50&lt;=Lists!$N$3,"Medium",IF(N50&lt;=Lists!$N$4,"High","Critical"))))</f>
        <v/>
      </c>
      <c r="P50" s="10"/>
      <c r="Q50" s="11"/>
    </row>
    <row r="51" customFormat="false" ht="15" hidden="false" customHeight="false" outlineLevel="0" collapsed="false">
      <c r="A51" s="18" t="str">
        <f aca="false">IF(B51="","","RA-"&amp;TEXT(ROW()-4,"000"))</f>
        <v/>
      </c>
      <c r="B51" s="10"/>
      <c r="C51" s="10"/>
      <c r="D51" s="10"/>
      <c r="E51" s="10"/>
      <c r="F51" s="23"/>
      <c r="G51" s="23"/>
      <c r="H51" s="18" t="str">
        <f aca="false">IF(OR(F51="",G51=""),"",F51*G51)</f>
        <v/>
      </c>
      <c r="I51" s="18" t="str">
        <f aca="false">IF(H51="","",IF(H51&lt;=Lists!$N$2,"Low",IF(H51&lt;=Lists!$N$3,"Medium",IF(H51&lt;=Lists!$N$4,"High","Critical"))))</f>
        <v/>
      </c>
      <c r="J51" s="10"/>
      <c r="K51" s="10"/>
      <c r="L51" s="23"/>
      <c r="M51" s="23"/>
      <c r="N51" s="18" t="str">
        <f aca="false">IF(OR(L51="",M51=""),"",L51*M51)</f>
        <v/>
      </c>
      <c r="O51" s="18" t="str">
        <f aca="false">IF(N51="","",IF(N51&lt;=Lists!$N$2,"Low",IF(N51&lt;=Lists!$N$3,"Medium",IF(N51&lt;=Lists!$N$4,"High","Critical"))))</f>
        <v/>
      </c>
      <c r="P51" s="10"/>
      <c r="Q51" s="11"/>
    </row>
    <row r="52" customFormat="false" ht="15" hidden="false" customHeight="false" outlineLevel="0" collapsed="false">
      <c r="A52" s="18" t="str">
        <f aca="false">IF(B52="","","RA-"&amp;TEXT(ROW()-4,"000"))</f>
        <v/>
      </c>
      <c r="B52" s="10"/>
      <c r="C52" s="10"/>
      <c r="D52" s="10"/>
      <c r="E52" s="10"/>
      <c r="F52" s="23"/>
      <c r="G52" s="23"/>
      <c r="H52" s="18" t="str">
        <f aca="false">IF(OR(F52="",G52=""),"",F52*G52)</f>
        <v/>
      </c>
      <c r="I52" s="18" t="str">
        <f aca="false">IF(H52="","",IF(H52&lt;=Lists!$N$2,"Low",IF(H52&lt;=Lists!$N$3,"Medium",IF(H52&lt;=Lists!$N$4,"High","Critical"))))</f>
        <v/>
      </c>
      <c r="J52" s="10"/>
      <c r="K52" s="10"/>
      <c r="L52" s="23"/>
      <c r="M52" s="23"/>
      <c r="N52" s="18" t="str">
        <f aca="false">IF(OR(L52="",M52=""),"",L52*M52)</f>
        <v/>
      </c>
      <c r="O52" s="18" t="str">
        <f aca="false">IF(N52="","",IF(N52&lt;=Lists!$N$2,"Low",IF(N52&lt;=Lists!$N$3,"Medium",IF(N52&lt;=Lists!$N$4,"High","Critical"))))</f>
        <v/>
      </c>
      <c r="P52" s="10"/>
      <c r="Q52" s="11"/>
    </row>
    <row r="53" customFormat="false" ht="15" hidden="false" customHeight="false" outlineLevel="0" collapsed="false">
      <c r="A53" s="18" t="str">
        <f aca="false">IF(B53="","","RA-"&amp;TEXT(ROW()-4,"000"))</f>
        <v/>
      </c>
      <c r="B53" s="10"/>
      <c r="C53" s="10"/>
      <c r="D53" s="10"/>
      <c r="E53" s="10"/>
      <c r="F53" s="23"/>
      <c r="G53" s="23"/>
      <c r="H53" s="18" t="str">
        <f aca="false">IF(OR(F53="",G53=""),"",F53*G53)</f>
        <v/>
      </c>
      <c r="I53" s="18" t="str">
        <f aca="false">IF(H53="","",IF(H53&lt;=Lists!$N$2,"Low",IF(H53&lt;=Lists!$N$3,"Medium",IF(H53&lt;=Lists!$N$4,"High","Critical"))))</f>
        <v/>
      </c>
      <c r="J53" s="10"/>
      <c r="K53" s="10"/>
      <c r="L53" s="23"/>
      <c r="M53" s="23"/>
      <c r="N53" s="18" t="str">
        <f aca="false">IF(OR(L53="",M53=""),"",L53*M53)</f>
        <v/>
      </c>
      <c r="O53" s="18" t="str">
        <f aca="false">IF(N53="","",IF(N53&lt;=Lists!$N$2,"Low",IF(N53&lt;=Lists!$N$3,"Medium",IF(N53&lt;=Lists!$N$4,"High","Critical"))))</f>
        <v/>
      </c>
      <c r="P53" s="10"/>
      <c r="Q53" s="11"/>
    </row>
    <row r="54" customFormat="false" ht="15" hidden="false" customHeight="false" outlineLevel="0" collapsed="false">
      <c r="A54" s="18" t="str">
        <f aca="false">IF(B54="","","RA-"&amp;TEXT(ROW()-4,"000"))</f>
        <v/>
      </c>
      <c r="B54" s="10"/>
      <c r="C54" s="10"/>
      <c r="D54" s="10"/>
      <c r="E54" s="10"/>
      <c r="F54" s="23"/>
      <c r="G54" s="23"/>
      <c r="H54" s="18" t="str">
        <f aca="false">IF(OR(F54="",G54=""),"",F54*G54)</f>
        <v/>
      </c>
      <c r="I54" s="18" t="str">
        <f aca="false">IF(H54="","",IF(H54&lt;=Lists!$N$2,"Low",IF(H54&lt;=Lists!$N$3,"Medium",IF(H54&lt;=Lists!$N$4,"High","Critical"))))</f>
        <v/>
      </c>
      <c r="J54" s="10"/>
      <c r="K54" s="10"/>
      <c r="L54" s="23"/>
      <c r="M54" s="23"/>
      <c r="N54" s="18" t="str">
        <f aca="false">IF(OR(L54="",M54=""),"",L54*M54)</f>
        <v/>
      </c>
      <c r="O54" s="18" t="str">
        <f aca="false">IF(N54="","",IF(N54&lt;=Lists!$N$2,"Low",IF(N54&lt;=Lists!$N$3,"Medium",IF(N54&lt;=Lists!$N$4,"High","Critical"))))</f>
        <v/>
      </c>
      <c r="P54" s="10"/>
      <c r="Q54" s="11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Format="false" ht="15" hidden="false" customHeight="false" outlineLevel="0" collapsed="false">
      <c r="A56" s="2"/>
      <c r="B56" s="25" t="s">
        <v>159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5" hidden="false" customHeight="false" outlineLevel="0" collapsed="false">
      <c r="A57" s="2"/>
      <c r="B57" s="12" t="s">
        <v>160</v>
      </c>
      <c r="C57" s="12" t="s">
        <v>161</v>
      </c>
      <c r="D57" s="12" t="s">
        <v>162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Format="false" ht="15" hidden="false" customHeight="false" outlineLevel="0" collapsed="false">
      <c r="A58" s="2"/>
      <c r="B58" s="6" t="n">
        <v>1</v>
      </c>
      <c r="C58" s="6" t="s">
        <v>163</v>
      </c>
      <c r="D58" s="6" t="s">
        <v>164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5" hidden="false" customHeight="false" outlineLevel="0" collapsed="false">
      <c r="A59" s="2"/>
      <c r="B59" s="6" t="n">
        <v>2</v>
      </c>
      <c r="C59" s="6" t="s">
        <v>165</v>
      </c>
      <c r="D59" s="6" t="s">
        <v>166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5" hidden="false" customHeight="false" outlineLevel="0" collapsed="false">
      <c r="A60" s="2"/>
      <c r="B60" s="6" t="n">
        <v>3</v>
      </c>
      <c r="C60" s="6" t="s">
        <v>167</v>
      </c>
      <c r="D60" s="6" t="s">
        <v>168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Format="false" ht="26.85" hidden="false" customHeight="false" outlineLevel="0" collapsed="false">
      <c r="A61" s="2"/>
      <c r="B61" s="6" t="n">
        <v>4</v>
      </c>
      <c r="C61" s="6" t="s">
        <v>169</v>
      </c>
      <c r="D61" s="6" t="s">
        <v>170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Format="false" ht="26.85" hidden="false" customHeight="false" outlineLevel="0" collapsed="false">
      <c r="A62" s="2"/>
      <c r="B62" s="6" t="n">
        <v>5</v>
      </c>
      <c r="C62" s="6" t="s">
        <v>171</v>
      </c>
      <c r="D62" s="6" t="s">
        <v>172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customFormat="false" ht="15" hidden="false" customHeight="false" outlineLevel="0" collapsed="false">
      <c r="A64" s="2"/>
      <c r="B64" s="25" t="s">
        <v>173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customFormat="false" ht="15" hidden="false" customHeight="false" outlineLevel="0" collapsed="false">
      <c r="A65" s="2"/>
      <c r="B65" s="9" t="s">
        <v>174</v>
      </c>
      <c r="C65" s="26" t="n">
        <v>1</v>
      </c>
      <c r="D65" s="26" t="n">
        <v>2</v>
      </c>
      <c r="E65" s="26" t="n">
        <v>3</v>
      </c>
      <c r="F65" s="26" t="n">
        <v>4</v>
      </c>
      <c r="G65" s="26" t="n">
        <v>5</v>
      </c>
      <c r="H65" s="2"/>
      <c r="I65" s="2"/>
      <c r="J65" s="2"/>
      <c r="K65" s="2"/>
      <c r="L65" s="2"/>
      <c r="M65" s="2"/>
      <c r="N65" s="2"/>
      <c r="O65" s="2"/>
      <c r="P65" s="2"/>
      <c r="Q65" s="2"/>
    </row>
    <row r="66" customFormat="false" ht="15" hidden="false" customHeight="false" outlineLevel="0" collapsed="false">
      <c r="A66" s="2"/>
      <c r="B66" s="26" t="n">
        <v>1</v>
      </c>
      <c r="C66" s="27" t="n">
        <f aca="false">B66*C65</f>
        <v>1</v>
      </c>
      <c r="D66" s="27" t="n">
        <f aca="false">B66*D65</f>
        <v>2</v>
      </c>
      <c r="E66" s="27" t="n">
        <f aca="false">B66*E65</f>
        <v>3</v>
      </c>
      <c r="F66" s="27" t="n">
        <f aca="false">B66*F65</f>
        <v>4</v>
      </c>
      <c r="G66" s="27" t="n">
        <f aca="false">B66*G65</f>
        <v>5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customFormat="false" ht="15" hidden="false" customHeight="false" outlineLevel="0" collapsed="false">
      <c r="A67" s="2"/>
      <c r="B67" s="26" t="n">
        <v>2</v>
      </c>
      <c r="C67" s="27" t="n">
        <f aca="false">B67*C65</f>
        <v>2</v>
      </c>
      <c r="D67" s="27" t="n">
        <f aca="false">B67*D65</f>
        <v>4</v>
      </c>
      <c r="E67" s="27" t="n">
        <f aca="false">B67*E65</f>
        <v>6</v>
      </c>
      <c r="F67" s="27" t="n">
        <f aca="false">B67*F65</f>
        <v>8</v>
      </c>
      <c r="G67" s="27" t="n">
        <f aca="false">B67*G65</f>
        <v>10</v>
      </c>
      <c r="H67" s="2"/>
      <c r="I67" s="2"/>
      <c r="J67" s="2"/>
      <c r="K67" s="2"/>
      <c r="L67" s="2"/>
      <c r="M67" s="2"/>
      <c r="N67" s="2"/>
      <c r="O67" s="2"/>
      <c r="P67" s="2"/>
      <c r="Q67" s="2"/>
    </row>
    <row r="68" customFormat="false" ht="15" hidden="false" customHeight="false" outlineLevel="0" collapsed="false">
      <c r="A68" s="2"/>
      <c r="B68" s="26" t="n">
        <v>3</v>
      </c>
      <c r="C68" s="27" t="n">
        <f aca="false">B68*C65</f>
        <v>3</v>
      </c>
      <c r="D68" s="27" t="n">
        <f aca="false">B68*D65</f>
        <v>6</v>
      </c>
      <c r="E68" s="27" t="n">
        <f aca="false">B68*E65</f>
        <v>9</v>
      </c>
      <c r="F68" s="27" t="n">
        <f aca="false">B68*F65</f>
        <v>12</v>
      </c>
      <c r="G68" s="27" t="n">
        <f aca="false">B68*G65</f>
        <v>15</v>
      </c>
      <c r="H68" s="2"/>
      <c r="I68" s="2"/>
      <c r="J68" s="2"/>
      <c r="K68" s="2"/>
      <c r="L68" s="2"/>
      <c r="M68" s="2"/>
      <c r="N68" s="2"/>
      <c r="O68" s="2"/>
      <c r="P68" s="2"/>
      <c r="Q68" s="2"/>
    </row>
    <row r="69" customFormat="false" ht="15" hidden="false" customHeight="false" outlineLevel="0" collapsed="false">
      <c r="A69" s="2"/>
      <c r="B69" s="26" t="n">
        <v>4</v>
      </c>
      <c r="C69" s="27" t="n">
        <f aca="false">B69*C65</f>
        <v>4</v>
      </c>
      <c r="D69" s="27" t="n">
        <f aca="false">B69*D65</f>
        <v>8</v>
      </c>
      <c r="E69" s="27" t="n">
        <f aca="false">B69*E65</f>
        <v>12</v>
      </c>
      <c r="F69" s="27" t="n">
        <f aca="false">B69*F65</f>
        <v>16</v>
      </c>
      <c r="G69" s="27" t="n">
        <f aca="false">B69*G65</f>
        <v>20</v>
      </c>
      <c r="H69" s="2"/>
      <c r="I69" s="2"/>
      <c r="J69" s="2"/>
      <c r="K69" s="2"/>
      <c r="L69" s="2"/>
      <c r="M69" s="2"/>
      <c r="N69" s="2"/>
      <c r="O69" s="2"/>
      <c r="P69" s="2"/>
      <c r="Q69" s="2"/>
    </row>
    <row r="70" customFormat="false" ht="15" hidden="false" customHeight="false" outlineLevel="0" collapsed="false">
      <c r="A70" s="2"/>
      <c r="B70" s="26" t="n">
        <v>5</v>
      </c>
      <c r="C70" s="27" t="n">
        <f aca="false">B70*C65</f>
        <v>5</v>
      </c>
      <c r="D70" s="27" t="n">
        <f aca="false">B70*D65</f>
        <v>10</v>
      </c>
      <c r="E70" s="27" t="n">
        <f aca="false">B70*E65</f>
        <v>15</v>
      </c>
      <c r="F70" s="27" t="n">
        <f aca="false">B70*F65</f>
        <v>20</v>
      </c>
      <c r="G70" s="27" t="n">
        <f aca="false">B70*G65</f>
        <v>25</v>
      </c>
      <c r="H70" s="2"/>
      <c r="I70" s="2"/>
      <c r="J70" s="2"/>
      <c r="K70" s="2"/>
      <c r="L70" s="2"/>
      <c r="M70" s="2"/>
      <c r="N70" s="2"/>
      <c r="O70" s="2"/>
      <c r="P70" s="2"/>
      <c r="Q70" s="2"/>
    </row>
  </sheetData>
  <conditionalFormatting sqref="I5:I54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  <cfRule type="cellIs" priority="5" operator="equal" aboveAverage="0" equalAverage="0" bottom="0" percent="0" rank="0" text="" dxfId="3">
      <formula>"Critical"</formula>
    </cfRule>
  </conditionalFormatting>
  <conditionalFormatting sqref="O5:O54">
    <cfRule type="cellIs" priority="6" operator="equal" aboveAverage="0" equalAverage="0" bottom="0" percent="0" rank="0" text="" dxfId="0">
      <formula>"Low"</formula>
    </cfRule>
    <cfRule type="cellIs" priority="7" operator="equal" aboveAverage="0" equalAverage="0" bottom="0" percent="0" rank="0" text="" dxfId="1">
      <formula>"Medium"</formula>
    </cfRule>
    <cfRule type="cellIs" priority="8" operator="equal" aboveAverage="0" equalAverage="0" bottom="0" percent="0" rank="0" text="" dxfId="2">
      <formula>"High"</formula>
    </cfRule>
    <cfRule type="cellIs" priority="9" operator="equal" aboveAverage="0" equalAverage="0" bottom="0" percent="0" rank="0" text="" dxfId="3">
      <formula>"Critical"</formula>
    </cfRule>
  </conditionalFormatting>
  <conditionalFormatting sqref="C66:G70">
    <cfRule type="expression" priority="10" aboveAverage="0" equalAverage="0" bottom="0" percent="0" rank="0" text="" dxfId="0">
      <formula>C66&lt;=Lists!$N$2</formula>
    </cfRule>
    <cfRule type="expression" priority="11" aboveAverage="0" equalAverage="0" bottom="0" percent="0" rank="0" text="" dxfId="1">
      <formula>C66&lt;=Lists!$N$3</formula>
    </cfRule>
    <cfRule type="expression" priority="12" aboveAverage="0" equalAverage="0" bottom="0" percent="0" rank="0" text="" dxfId="2">
      <formula>C66&lt;=Lists!$N$4</formula>
    </cfRule>
    <cfRule type="expression" priority="13" aboveAverage="0" equalAverage="0" bottom="0" percent="0" rank="0" text="" dxfId="3">
      <formula>C66&gt;Lists!$N$4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C5:C54" type="list">
      <formula1>Lists!$D$2:$D$13</formula1>
      <formula2>0</formula2>
    </dataValidation>
    <dataValidation allowBlank="true" error="Enter a whole number from 1 to 5." errorStyle="stop" operator="between" showDropDown="false" showErrorMessage="false" showInputMessage="false" sqref="F5:G54 L5:M54" type="whole">
      <formula1>1</formula1>
      <formula2>5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34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175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176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true" outlineLevel="0" collapsed="false">
      <c r="A4" s="9" t="s">
        <v>98</v>
      </c>
      <c r="B4" s="10" t="s">
        <v>99</v>
      </c>
      <c r="C4" s="10"/>
      <c r="D4" s="2"/>
      <c r="E4" s="2"/>
      <c r="F4" s="2"/>
      <c r="G4" s="2"/>
    </row>
    <row r="5" customFormat="false" ht="15" hidden="false" customHeight="false" outlineLevel="0" collapsed="false">
      <c r="A5" s="9" t="s">
        <v>177</v>
      </c>
      <c r="B5" s="11" t="n">
        <v>46293</v>
      </c>
      <c r="C5" s="11"/>
      <c r="D5" s="2"/>
      <c r="E5" s="2"/>
      <c r="F5" s="2"/>
      <c r="G5" s="2"/>
    </row>
    <row r="6" customFormat="false" ht="15" hidden="false" customHeight="true" outlineLevel="0" collapsed="false">
      <c r="A6" s="9" t="s">
        <v>178</v>
      </c>
      <c r="B6" s="10" t="s">
        <v>179</v>
      </c>
      <c r="C6" s="10"/>
      <c r="D6" s="2"/>
      <c r="E6" s="2"/>
      <c r="F6" s="2"/>
      <c r="G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31.5" hidden="false" customHeight="true" outlineLevel="0" collapsed="false">
      <c r="A8" s="12" t="s">
        <v>42</v>
      </c>
      <c r="B8" s="12" t="s">
        <v>180</v>
      </c>
      <c r="C8" s="12" t="s">
        <v>48</v>
      </c>
      <c r="D8" s="12" t="s">
        <v>181</v>
      </c>
      <c r="E8" s="12" t="s">
        <v>182</v>
      </c>
      <c r="F8" s="12" t="s">
        <v>183</v>
      </c>
      <c r="G8" s="12" t="s">
        <v>184</v>
      </c>
    </row>
    <row r="9" customFormat="false" ht="15" hidden="false" customHeight="false" outlineLevel="0" collapsed="false">
      <c r="A9" s="13" t="n">
        <v>1</v>
      </c>
      <c r="B9" s="6" t="s">
        <v>185</v>
      </c>
      <c r="C9" s="23" t="s">
        <v>186</v>
      </c>
      <c r="D9" s="10"/>
      <c r="E9" s="10"/>
      <c r="F9" s="10"/>
      <c r="G9" s="11"/>
    </row>
    <row r="10" customFormat="false" ht="15" hidden="false" customHeight="false" outlineLevel="0" collapsed="false">
      <c r="A10" s="13" t="n">
        <v>2</v>
      </c>
      <c r="B10" s="6" t="s">
        <v>187</v>
      </c>
      <c r="C10" s="23" t="s">
        <v>186</v>
      </c>
      <c r="D10" s="10"/>
      <c r="E10" s="10"/>
      <c r="F10" s="10"/>
      <c r="G10" s="11"/>
    </row>
    <row r="11" customFormat="false" ht="15" hidden="false" customHeight="false" outlineLevel="0" collapsed="false">
      <c r="A11" s="13" t="n">
        <v>3</v>
      </c>
      <c r="B11" s="6" t="s">
        <v>188</v>
      </c>
      <c r="C11" s="23" t="s">
        <v>186</v>
      </c>
      <c r="D11" s="10"/>
      <c r="E11" s="10"/>
      <c r="F11" s="10"/>
      <c r="G11" s="11"/>
    </row>
    <row r="12" customFormat="false" ht="15" hidden="false" customHeight="false" outlineLevel="0" collapsed="false">
      <c r="A12" s="13" t="n">
        <v>4</v>
      </c>
      <c r="B12" s="6" t="s">
        <v>189</v>
      </c>
      <c r="C12" s="23" t="s">
        <v>186</v>
      </c>
      <c r="D12" s="10"/>
      <c r="E12" s="10"/>
      <c r="F12" s="10"/>
      <c r="G12" s="11"/>
    </row>
    <row r="13" customFormat="false" ht="15" hidden="false" customHeight="false" outlineLevel="0" collapsed="false">
      <c r="A13" s="13" t="n">
        <v>5</v>
      </c>
      <c r="B13" s="6" t="s">
        <v>190</v>
      </c>
      <c r="C13" s="23" t="s">
        <v>186</v>
      </c>
      <c r="D13" s="10"/>
      <c r="E13" s="10"/>
      <c r="F13" s="10"/>
      <c r="G13" s="11"/>
    </row>
    <row r="14" customFormat="false" ht="15" hidden="false" customHeight="false" outlineLevel="0" collapsed="false">
      <c r="A14" s="13" t="n">
        <v>6</v>
      </c>
      <c r="B14" s="6" t="s">
        <v>191</v>
      </c>
      <c r="C14" s="23" t="s">
        <v>186</v>
      </c>
      <c r="D14" s="10"/>
      <c r="E14" s="10"/>
      <c r="F14" s="10"/>
      <c r="G14" s="11"/>
    </row>
    <row r="15" customFormat="false" ht="15" hidden="false" customHeight="false" outlineLevel="0" collapsed="false">
      <c r="A15" s="13" t="n">
        <v>7</v>
      </c>
      <c r="B15" s="6" t="s">
        <v>192</v>
      </c>
      <c r="C15" s="23" t="s">
        <v>186</v>
      </c>
      <c r="D15" s="10" t="s">
        <v>193</v>
      </c>
      <c r="E15" s="10" t="s">
        <v>194</v>
      </c>
      <c r="F15" s="10" t="s">
        <v>195</v>
      </c>
      <c r="G15" s="11" t="n">
        <v>46305</v>
      </c>
    </row>
    <row r="16" customFormat="false" ht="15" hidden="false" customHeight="false" outlineLevel="0" collapsed="false">
      <c r="A16" s="13" t="n">
        <v>8</v>
      </c>
      <c r="B16" s="6" t="s">
        <v>196</v>
      </c>
      <c r="C16" s="23" t="s">
        <v>197</v>
      </c>
      <c r="D16" s="10"/>
      <c r="E16" s="10"/>
      <c r="F16" s="10"/>
      <c r="G16" s="11"/>
    </row>
    <row r="17" customFormat="false" ht="15" hidden="false" customHeight="false" outlineLevel="0" collapsed="false">
      <c r="A17" s="13" t="n">
        <v>9</v>
      </c>
      <c r="B17" s="6" t="s">
        <v>198</v>
      </c>
      <c r="C17" s="23" t="s">
        <v>199</v>
      </c>
      <c r="D17" s="10"/>
      <c r="E17" s="10"/>
      <c r="F17" s="10"/>
      <c r="G17" s="11"/>
    </row>
    <row r="18" customFormat="false" ht="15" hidden="false" customHeight="false" outlineLevel="0" collapsed="false">
      <c r="A18" s="13" t="n">
        <v>10</v>
      </c>
      <c r="B18" s="6" t="s">
        <v>200</v>
      </c>
      <c r="C18" s="23" t="s">
        <v>186</v>
      </c>
      <c r="D18" s="10"/>
      <c r="E18" s="10"/>
      <c r="F18" s="10"/>
      <c r="G18" s="11"/>
    </row>
    <row r="19" customFormat="false" ht="15" hidden="false" customHeight="false" outlineLevel="0" collapsed="false">
      <c r="A19" s="13" t="n">
        <v>11</v>
      </c>
      <c r="B19" s="6" t="s">
        <v>201</v>
      </c>
      <c r="C19" s="23" t="s">
        <v>186</v>
      </c>
      <c r="D19" s="10"/>
      <c r="E19" s="10"/>
      <c r="F19" s="10"/>
      <c r="G19" s="11"/>
    </row>
    <row r="20" customFormat="false" ht="15" hidden="false" customHeight="false" outlineLevel="0" collapsed="false">
      <c r="A20" s="13" t="n">
        <v>12</v>
      </c>
      <c r="B20" s="6" t="s">
        <v>202</v>
      </c>
      <c r="C20" s="23" t="s">
        <v>186</v>
      </c>
      <c r="D20" s="10"/>
      <c r="E20" s="10"/>
      <c r="F20" s="10"/>
      <c r="G20" s="11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2"/>
      <c r="B22" s="24" t="s">
        <v>186</v>
      </c>
      <c r="C22" s="19" t="n">
        <f aca="false">COUNTIF(C9:C20,"Compliant")</f>
        <v>10</v>
      </c>
      <c r="D22" s="2"/>
      <c r="E22" s="2"/>
      <c r="F22" s="2"/>
      <c r="G22" s="2"/>
    </row>
    <row r="23" customFormat="false" ht="15" hidden="false" customHeight="false" outlineLevel="0" collapsed="false">
      <c r="A23" s="2"/>
      <c r="B23" s="24" t="s">
        <v>197</v>
      </c>
      <c r="C23" s="19" t="n">
        <f aca="false">COUNTIF(C9:C20,"Non-compliant")</f>
        <v>1</v>
      </c>
      <c r="D23" s="2"/>
      <c r="E23" s="2"/>
      <c r="F23" s="2"/>
      <c r="G23" s="2"/>
    </row>
    <row r="24" customFormat="false" ht="15" hidden="false" customHeight="false" outlineLevel="0" collapsed="false">
      <c r="A24" s="2"/>
      <c r="B24" s="24" t="s">
        <v>203</v>
      </c>
      <c r="C24" s="19" t="n">
        <f aca="false">COUNTIF(C9:C20,"N/A")</f>
        <v>1</v>
      </c>
      <c r="D24" s="2"/>
      <c r="E24" s="2"/>
      <c r="F24" s="2"/>
      <c r="G24" s="2"/>
    </row>
    <row r="25" customFormat="false" ht="15" hidden="false" customHeight="false" outlineLevel="0" collapsed="false">
      <c r="A25" s="2"/>
      <c r="B25" s="24" t="s">
        <v>204</v>
      </c>
      <c r="C25" s="19" t="n">
        <f aca="false">C22+C23</f>
        <v>11</v>
      </c>
      <c r="D25" s="2"/>
      <c r="E25" s="2"/>
      <c r="F25" s="2"/>
      <c r="G25" s="2"/>
    </row>
    <row r="26" customFormat="false" ht="15" hidden="false" customHeight="false" outlineLevel="0" collapsed="false">
      <c r="A26" s="2"/>
      <c r="B26" s="24" t="s">
        <v>205</v>
      </c>
      <c r="C26" s="16" t="n">
        <f aca="false">IFERROR(C22/C25,"")</f>
        <v>0.909090909090909</v>
      </c>
      <c r="D26" s="2"/>
      <c r="E26" s="2"/>
      <c r="F26" s="2"/>
      <c r="G26" s="2"/>
    </row>
    <row r="27" customFormat="false" ht="15" hidden="false" customHeight="false" outlineLevel="0" collapsed="false">
      <c r="A27" s="2"/>
      <c r="B27" s="21" t="s">
        <v>206</v>
      </c>
      <c r="C27" s="2"/>
      <c r="D27" s="2"/>
      <c r="E27" s="2"/>
      <c r="F27" s="2"/>
      <c r="G27" s="2"/>
    </row>
  </sheetData>
  <mergeCells count="3">
    <mergeCell ref="B4:C4"/>
    <mergeCell ref="B5:C5"/>
    <mergeCell ref="B6:C6"/>
  </mergeCells>
  <conditionalFormatting sqref="C9:C20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"N/A"</formula>
    </cfRule>
    <cfRule type="cellIs" priority="4" operator="equal" aboveAverage="0" equalAverage="0" bottom="0" percent="0" rank="0" text="" dxfId="2">
      <formula>"Non-compliant"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C9:C20" type="list">
      <formula1>Lists!$C$2:$C$4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2" min="11" style="0" width="12"/>
    <col collapsed="false" customWidth="true" hidden="false" outlineLevel="0" max="13" min="13" style="0" width="32"/>
  </cols>
  <sheetData>
    <row r="1" customFormat="false" ht="19.7" hidden="false" customHeight="false" outlineLevel="0" collapsed="false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208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31.5" hidden="false" customHeight="true" outlineLevel="0" collapsed="false">
      <c r="A4" s="12" t="s">
        <v>209</v>
      </c>
      <c r="B4" s="12" t="s">
        <v>210</v>
      </c>
      <c r="C4" s="12" t="s">
        <v>211</v>
      </c>
      <c r="D4" s="12" t="s">
        <v>212</v>
      </c>
      <c r="E4" s="12" t="s">
        <v>213</v>
      </c>
      <c r="F4" s="12" t="s">
        <v>214</v>
      </c>
      <c r="G4" s="12" t="s">
        <v>215</v>
      </c>
      <c r="H4" s="12" t="s">
        <v>216</v>
      </c>
      <c r="I4" s="12" t="s">
        <v>217</v>
      </c>
      <c r="J4" s="12" t="s">
        <v>218</v>
      </c>
      <c r="K4" s="12" t="s">
        <v>219</v>
      </c>
      <c r="L4" s="12" t="s">
        <v>220</v>
      </c>
      <c r="M4" s="12" t="s">
        <v>221</v>
      </c>
    </row>
    <row r="5" customFormat="false" ht="26.85" hidden="false" customHeight="false" outlineLevel="0" collapsed="false">
      <c r="A5" s="10" t="s">
        <v>222</v>
      </c>
      <c r="B5" s="10" t="s">
        <v>223</v>
      </c>
      <c r="C5" s="10" t="s">
        <v>99</v>
      </c>
      <c r="D5" s="10" t="s">
        <v>224</v>
      </c>
      <c r="E5" s="23" t="s">
        <v>225</v>
      </c>
      <c r="F5" s="11" t="n">
        <v>46254</v>
      </c>
      <c r="G5" s="28" t="n">
        <v>90</v>
      </c>
      <c r="H5" s="29" t="n">
        <f aca="false">IF(OR(F5="",G5=""),"",F5+G5)</f>
        <v>46344</v>
      </c>
      <c r="I5" s="19" t="n">
        <f aca="false">IF(H5="","",H5-Dashboard!$C$5)</f>
        <v>46</v>
      </c>
      <c r="J5" s="18" t="str">
        <f aca="false">IF(B5="","",IF(H5="","Not scheduled",IF(I5&lt;0,"Overdue",IF(I5&lt;=Lists!$N$6,"Due soon","Current"))))</f>
        <v>Current</v>
      </c>
      <c r="K5" s="23" t="s">
        <v>113</v>
      </c>
      <c r="L5" s="23" t="s">
        <v>110</v>
      </c>
      <c r="M5" s="10" t="s">
        <v>226</v>
      </c>
    </row>
    <row r="6" customFormat="false" ht="15" hidden="false" customHeight="false" outlineLevel="0" collapsed="false">
      <c r="A6" s="10"/>
      <c r="B6" s="10"/>
      <c r="C6" s="10"/>
      <c r="D6" s="10"/>
      <c r="E6" s="23"/>
      <c r="F6" s="11"/>
      <c r="G6" s="28"/>
      <c r="H6" s="29" t="str">
        <f aca="false">IF(OR(F6="",G6=""),"",F6+G6)</f>
        <v/>
      </c>
      <c r="I6" s="19" t="str">
        <f aca="false">IF(H6="","",H6-Dashboard!$C$5)</f>
        <v/>
      </c>
      <c r="J6" s="18" t="str">
        <f aca="false">IF(B6="","",IF(H6="","Not scheduled",IF(I6&lt;0,"Overdue",IF(I6&lt;=Lists!$N$6,"Due soon","Current"))))</f>
        <v/>
      </c>
      <c r="K6" s="23"/>
      <c r="L6" s="23"/>
      <c r="M6" s="10"/>
    </row>
    <row r="7" customFormat="false" ht="15" hidden="false" customHeight="false" outlineLevel="0" collapsed="false">
      <c r="A7" s="10"/>
      <c r="B7" s="10"/>
      <c r="C7" s="10"/>
      <c r="D7" s="10"/>
      <c r="E7" s="23"/>
      <c r="F7" s="11"/>
      <c r="G7" s="28"/>
      <c r="H7" s="29" t="str">
        <f aca="false">IF(OR(F7="",G7=""),"",F7+G7)</f>
        <v/>
      </c>
      <c r="I7" s="19" t="str">
        <f aca="false">IF(H7="","",H7-Dashboard!$C$5)</f>
        <v/>
      </c>
      <c r="J7" s="18" t="str">
        <f aca="false">IF(B7="","",IF(H7="","Not scheduled",IF(I7&lt;0,"Overdue",IF(I7&lt;=Lists!$N$6,"Due soon","Current"))))</f>
        <v/>
      </c>
      <c r="K7" s="23"/>
      <c r="L7" s="23"/>
      <c r="M7" s="10"/>
    </row>
    <row r="8" customFormat="false" ht="15" hidden="false" customHeight="false" outlineLevel="0" collapsed="false">
      <c r="A8" s="10"/>
      <c r="B8" s="10"/>
      <c r="C8" s="10"/>
      <c r="D8" s="10"/>
      <c r="E8" s="23"/>
      <c r="F8" s="11"/>
      <c r="G8" s="28"/>
      <c r="H8" s="29" t="str">
        <f aca="false">IF(OR(F8="",G8=""),"",F8+G8)</f>
        <v/>
      </c>
      <c r="I8" s="19" t="str">
        <f aca="false">IF(H8="","",H8-Dashboard!$C$5)</f>
        <v/>
      </c>
      <c r="J8" s="18" t="str">
        <f aca="false">IF(B8="","",IF(H8="","Not scheduled",IF(I8&lt;0,"Overdue",IF(I8&lt;=Lists!$N$6,"Due soon","Current"))))</f>
        <v/>
      </c>
      <c r="K8" s="23"/>
      <c r="L8" s="23"/>
      <c r="M8" s="10"/>
    </row>
    <row r="9" customFormat="false" ht="15" hidden="false" customHeight="false" outlineLevel="0" collapsed="false">
      <c r="A9" s="10"/>
      <c r="B9" s="10"/>
      <c r="C9" s="10"/>
      <c r="D9" s="10"/>
      <c r="E9" s="23"/>
      <c r="F9" s="11"/>
      <c r="G9" s="28"/>
      <c r="H9" s="29" t="str">
        <f aca="false">IF(OR(F9="",G9=""),"",F9+G9)</f>
        <v/>
      </c>
      <c r="I9" s="19" t="str">
        <f aca="false">IF(H9="","",H9-Dashboard!$C$5)</f>
        <v/>
      </c>
      <c r="J9" s="18" t="str">
        <f aca="false">IF(B9="","",IF(H9="","Not scheduled",IF(I9&lt;0,"Overdue",IF(I9&lt;=Lists!$N$6,"Due soon","Current"))))</f>
        <v/>
      </c>
      <c r="K9" s="23"/>
      <c r="L9" s="23"/>
      <c r="M9" s="10"/>
    </row>
    <row r="10" customFormat="false" ht="15" hidden="false" customHeight="false" outlineLevel="0" collapsed="false">
      <c r="A10" s="10"/>
      <c r="B10" s="10"/>
      <c r="C10" s="10"/>
      <c r="D10" s="10"/>
      <c r="E10" s="23"/>
      <c r="F10" s="11"/>
      <c r="G10" s="28"/>
      <c r="H10" s="29" t="str">
        <f aca="false">IF(OR(F10="",G10=""),"",F10+G10)</f>
        <v/>
      </c>
      <c r="I10" s="19" t="str">
        <f aca="false">IF(H10="","",H10-Dashboard!$C$5)</f>
        <v/>
      </c>
      <c r="J10" s="18" t="str">
        <f aca="false">IF(B10="","",IF(H10="","Not scheduled",IF(I10&lt;0,"Overdue",IF(I10&lt;=Lists!$N$6,"Due soon","Current"))))</f>
        <v/>
      </c>
      <c r="K10" s="23"/>
      <c r="L10" s="23"/>
      <c r="M10" s="10"/>
    </row>
    <row r="11" customFormat="false" ht="15" hidden="false" customHeight="false" outlineLevel="0" collapsed="false">
      <c r="A11" s="10"/>
      <c r="B11" s="10"/>
      <c r="C11" s="10"/>
      <c r="D11" s="10"/>
      <c r="E11" s="23"/>
      <c r="F11" s="11"/>
      <c r="G11" s="28"/>
      <c r="H11" s="29" t="str">
        <f aca="false">IF(OR(F11="",G11=""),"",F11+G11)</f>
        <v/>
      </c>
      <c r="I11" s="19" t="str">
        <f aca="false">IF(H11="","",H11-Dashboard!$C$5)</f>
        <v/>
      </c>
      <c r="J11" s="18" t="str">
        <f aca="false">IF(B11="","",IF(H11="","Not scheduled",IF(I11&lt;0,"Overdue",IF(I11&lt;=Lists!$N$6,"Due soon","Current"))))</f>
        <v/>
      </c>
      <c r="K11" s="23"/>
      <c r="L11" s="23"/>
      <c r="M11" s="10"/>
    </row>
    <row r="12" customFormat="false" ht="15" hidden="false" customHeight="false" outlineLevel="0" collapsed="false">
      <c r="A12" s="10"/>
      <c r="B12" s="10"/>
      <c r="C12" s="10"/>
      <c r="D12" s="10"/>
      <c r="E12" s="23"/>
      <c r="F12" s="11"/>
      <c r="G12" s="28"/>
      <c r="H12" s="29" t="str">
        <f aca="false">IF(OR(F12="",G12=""),"",F12+G12)</f>
        <v/>
      </c>
      <c r="I12" s="19" t="str">
        <f aca="false">IF(H12="","",H12-Dashboard!$C$5)</f>
        <v/>
      </c>
      <c r="J12" s="18" t="str">
        <f aca="false">IF(B12="","",IF(H12="","Not scheduled",IF(I12&lt;0,"Overdue",IF(I12&lt;=Lists!$N$6,"Due soon","Current"))))</f>
        <v/>
      </c>
      <c r="K12" s="23"/>
      <c r="L12" s="23"/>
      <c r="M12" s="10"/>
    </row>
    <row r="13" customFormat="false" ht="15" hidden="false" customHeight="false" outlineLevel="0" collapsed="false">
      <c r="A13" s="10"/>
      <c r="B13" s="10"/>
      <c r="C13" s="10"/>
      <c r="D13" s="10"/>
      <c r="E13" s="23"/>
      <c r="F13" s="11"/>
      <c r="G13" s="28"/>
      <c r="H13" s="29" t="str">
        <f aca="false">IF(OR(F13="",G13=""),"",F13+G13)</f>
        <v/>
      </c>
      <c r="I13" s="19" t="str">
        <f aca="false">IF(H13="","",H13-Dashboard!$C$5)</f>
        <v/>
      </c>
      <c r="J13" s="18" t="str">
        <f aca="false">IF(B13="","",IF(H13="","Not scheduled",IF(I13&lt;0,"Overdue",IF(I13&lt;=Lists!$N$6,"Due soon","Current"))))</f>
        <v/>
      </c>
      <c r="K13" s="23"/>
      <c r="L13" s="23"/>
      <c r="M13" s="10"/>
    </row>
    <row r="14" customFormat="false" ht="15" hidden="false" customHeight="false" outlineLevel="0" collapsed="false">
      <c r="A14" s="10"/>
      <c r="B14" s="10"/>
      <c r="C14" s="10"/>
      <c r="D14" s="10"/>
      <c r="E14" s="23"/>
      <c r="F14" s="11"/>
      <c r="G14" s="28"/>
      <c r="H14" s="29" t="str">
        <f aca="false">IF(OR(F14="",G14=""),"",F14+G14)</f>
        <v/>
      </c>
      <c r="I14" s="19" t="str">
        <f aca="false">IF(H14="","",H14-Dashboard!$C$5)</f>
        <v/>
      </c>
      <c r="J14" s="18" t="str">
        <f aca="false">IF(B14="","",IF(H14="","Not scheduled",IF(I14&lt;0,"Overdue",IF(I14&lt;=Lists!$N$6,"Due soon","Current"))))</f>
        <v/>
      </c>
      <c r="K14" s="23"/>
      <c r="L14" s="23"/>
      <c r="M14" s="10"/>
    </row>
    <row r="15" customFormat="false" ht="15" hidden="false" customHeight="false" outlineLevel="0" collapsed="false">
      <c r="A15" s="10"/>
      <c r="B15" s="10"/>
      <c r="C15" s="10"/>
      <c r="D15" s="10"/>
      <c r="E15" s="23"/>
      <c r="F15" s="11"/>
      <c r="G15" s="28"/>
      <c r="H15" s="29" t="str">
        <f aca="false">IF(OR(F15="",G15=""),"",F15+G15)</f>
        <v/>
      </c>
      <c r="I15" s="19" t="str">
        <f aca="false">IF(H15="","",H15-Dashboard!$C$5)</f>
        <v/>
      </c>
      <c r="J15" s="18" t="str">
        <f aca="false">IF(B15="","",IF(H15="","Not scheduled",IF(I15&lt;0,"Overdue",IF(I15&lt;=Lists!$N$6,"Due soon","Current"))))</f>
        <v/>
      </c>
      <c r="K15" s="23"/>
      <c r="L15" s="23"/>
      <c r="M15" s="10"/>
    </row>
    <row r="16" customFormat="false" ht="15" hidden="false" customHeight="false" outlineLevel="0" collapsed="false">
      <c r="A16" s="10"/>
      <c r="B16" s="10"/>
      <c r="C16" s="10"/>
      <c r="D16" s="10"/>
      <c r="E16" s="23"/>
      <c r="F16" s="11"/>
      <c r="G16" s="28"/>
      <c r="H16" s="29" t="str">
        <f aca="false">IF(OR(F16="",G16=""),"",F16+G16)</f>
        <v/>
      </c>
      <c r="I16" s="19" t="str">
        <f aca="false">IF(H16="","",H16-Dashboard!$C$5)</f>
        <v/>
      </c>
      <c r="J16" s="18" t="str">
        <f aca="false">IF(B16="","",IF(H16="","Not scheduled",IF(I16&lt;0,"Overdue",IF(I16&lt;=Lists!$N$6,"Due soon","Current"))))</f>
        <v/>
      </c>
      <c r="K16" s="23"/>
      <c r="L16" s="23"/>
      <c r="M16" s="10"/>
    </row>
    <row r="17" customFormat="false" ht="15" hidden="false" customHeight="false" outlineLevel="0" collapsed="false">
      <c r="A17" s="10"/>
      <c r="B17" s="10"/>
      <c r="C17" s="10"/>
      <c r="D17" s="10"/>
      <c r="E17" s="23"/>
      <c r="F17" s="11"/>
      <c r="G17" s="28"/>
      <c r="H17" s="29" t="str">
        <f aca="false">IF(OR(F17="",G17=""),"",F17+G17)</f>
        <v/>
      </c>
      <c r="I17" s="19" t="str">
        <f aca="false">IF(H17="","",H17-Dashboard!$C$5)</f>
        <v/>
      </c>
      <c r="J17" s="18" t="str">
        <f aca="false">IF(B17="","",IF(H17="","Not scheduled",IF(I17&lt;0,"Overdue",IF(I17&lt;=Lists!$N$6,"Due soon","Current"))))</f>
        <v/>
      </c>
      <c r="K17" s="23"/>
      <c r="L17" s="23"/>
      <c r="M17" s="10"/>
    </row>
    <row r="18" customFormat="false" ht="15" hidden="false" customHeight="false" outlineLevel="0" collapsed="false">
      <c r="A18" s="10"/>
      <c r="B18" s="10"/>
      <c r="C18" s="10"/>
      <c r="D18" s="10"/>
      <c r="E18" s="23"/>
      <c r="F18" s="11"/>
      <c r="G18" s="28"/>
      <c r="H18" s="29" t="str">
        <f aca="false">IF(OR(F18="",G18=""),"",F18+G18)</f>
        <v/>
      </c>
      <c r="I18" s="19" t="str">
        <f aca="false">IF(H18="","",H18-Dashboard!$C$5)</f>
        <v/>
      </c>
      <c r="J18" s="18" t="str">
        <f aca="false">IF(B18="","",IF(H18="","Not scheduled",IF(I18&lt;0,"Overdue",IF(I18&lt;=Lists!$N$6,"Due soon","Current"))))</f>
        <v/>
      </c>
      <c r="K18" s="23"/>
      <c r="L18" s="23"/>
      <c r="M18" s="10"/>
    </row>
    <row r="19" customFormat="false" ht="15" hidden="false" customHeight="false" outlineLevel="0" collapsed="false">
      <c r="A19" s="10"/>
      <c r="B19" s="10"/>
      <c r="C19" s="10"/>
      <c r="D19" s="10"/>
      <c r="E19" s="23"/>
      <c r="F19" s="11"/>
      <c r="G19" s="28"/>
      <c r="H19" s="29" t="str">
        <f aca="false">IF(OR(F19="",G19=""),"",F19+G19)</f>
        <v/>
      </c>
      <c r="I19" s="19" t="str">
        <f aca="false">IF(H19="","",H19-Dashboard!$C$5)</f>
        <v/>
      </c>
      <c r="J19" s="18" t="str">
        <f aca="false">IF(B19="","",IF(H19="","Not scheduled",IF(I19&lt;0,"Overdue",IF(I19&lt;=Lists!$N$6,"Due soon","Current"))))</f>
        <v/>
      </c>
      <c r="K19" s="23"/>
      <c r="L19" s="23"/>
      <c r="M19" s="10"/>
    </row>
    <row r="20" customFormat="false" ht="15" hidden="false" customHeight="false" outlineLevel="0" collapsed="false">
      <c r="A20" s="10"/>
      <c r="B20" s="10"/>
      <c r="C20" s="10"/>
      <c r="D20" s="10"/>
      <c r="E20" s="23"/>
      <c r="F20" s="11"/>
      <c r="G20" s="28"/>
      <c r="H20" s="29" t="str">
        <f aca="false">IF(OR(F20="",G20=""),"",F20+G20)</f>
        <v/>
      </c>
      <c r="I20" s="19" t="str">
        <f aca="false">IF(H20="","",H20-Dashboard!$C$5)</f>
        <v/>
      </c>
      <c r="J20" s="18" t="str">
        <f aca="false">IF(B20="","",IF(H20="","Not scheduled",IF(I20&lt;0,"Overdue",IF(I20&lt;=Lists!$N$6,"Due soon","Current"))))</f>
        <v/>
      </c>
      <c r="K20" s="23"/>
      <c r="L20" s="23"/>
      <c r="M20" s="10"/>
    </row>
    <row r="21" customFormat="false" ht="15" hidden="false" customHeight="false" outlineLevel="0" collapsed="false">
      <c r="A21" s="10"/>
      <c r="B21" s="10"/>
      <c r="C21" s="10"/>
      <c r="D21" s="10"/>
      <c r="E21" s="23"/>
      <c r="F21" s="11"/>
      <c r="G21" s="28"/>
      <c r="H21" s="29" t="str">
        <f aca="false">IF(OR(F21="",G21=""),"",F21+G21)</f>
        <v/>
      </c>
      <c r="I21" s="19" t="str">
        <f aca="false">IF(H21="","",H21-Dashboard!$C$5)</f>
        <v/>
      </c>
      <c r="J21" s="18" t="str">
        <f aca="false">IF(B21="","",IF(H21="","Not scheduled",IF(I21&lt;0,"Overdue",IF(I21&lt;=Lists!$N$6,"Due soon","Current"))))</f>
        <v/>
      </c>
      <c r="K21" s="23"/>
      <c r="L21" s="23"/>
      <c r="M21" s="10"/>
    </row>
    <row r="22" customFormat="false" ht="15" hidden="false" customHeight="false" outlineLevel="0" collapsed="false">
      <c r="A22" s="10"/>
      <c r="B22" s="10"/>
      <c r="C22" s="10"/>
      <c r="D22" s="10"/>
      <c r="E22" s="23"/>
      <c r="F22" s="11"/>
      <c r="G22" s="28"/>
      <c r="H22" s="29" t="str">
        <f aca="false">IF(OR(F22="",G22=""),"",F22+G22)</f>
        <v/>
      </c>
      <c r="I22" s="19" t="str">
        <f aca="false">IF(H22="","",H22-Dashboard!$C$5)</f>
        <v/>
      </c>
      <c r="J22" s="18" t="str">
        <f aca="false">IF(B22="","",IF(H22="","Not scheduled",IF(I22&lt;0,"Overdue",IF(I22&lt;=Lists!$N$6,"Due soon","Current"))))</f>
        <v/>
      </c>
      <c r="K22" s="23"/>
      <c r="L22" s="23"/>
      <c r="M22" s="10"/>
    </row>
    <row r="23" customFormat="false" ht="15" hidden="false" customHeight="false" outlineLevel="0" collapsed="false">
      <c r="A23" s="10"/>
      <c r="B23" s="10"/>
      <c r="C23" s="10"/>
      <c r="D23" s="10"/>
      <c r="E23" s="23"/>
      <c r="F23" s="11"/>
      <c r="G23" s="28"/>
      <c r="H23" s="29" t="str">
        <f aca="false">IF(OR(F23="",G23=""),"",F23+G23)</f>
        <v/>
      </c>
      <c r="I23" s="19" t="str">
        <f aca="false">IF(H23="","",H23-Dashboard!$C$5)</f>
        <v/>
      </c>
      <c r="J23" s="18" t="str">
        <f aca="false">IF(B23="","",IF(H23="","Not scheduled",IF(I23&lt;0,"Overdue",IF(I23&lt;=Lists!$N$6,"Due soon","Current"))))</f>
        <v/>
      </c>
      <c r="K23" s="23"/>
      <c r="L23" s="23"/>
      <c r="M23" s="10"/>
    </row>
    <row r="24" customFormat="false" ht="15" hidden="false" customHeight="false" outlineLevel="0" collapsed="false">
      <c r="A24" s="10"/>
      <c r="B24" s="10"/>
      <c r="C24" s="10"/>
      <c r="D24" s="10"/>
      <c r="E24" s="23"/>
      <c r="F24" s="11"/>
      <c r="G24" s="28"/>
      <c r="H24" s="29" t="str">
        <f aca="false">IF(OR(F24="",G24=""),"",F24+G24)</f>
        <v/>
      </c>
      <c r="I24" s="19" t="str">
        <f aca="false">IF(H24="","",H24-Dashboard!$C$5)</f>
        <v/>
      </c>
      <c r="J24" s="18" t="str">
        <f aca="false">IF(B24="","",IF(H24="","Not scheduled",IF(I24&lt;0,"Overdue",IF(I24&lt;=Lists!$N$6,"Due soon","Current"))))</f>
        <v/>
      </c>
      <c r="K24" s="23"/>
      <c r="L24" s="23"/>
      <c r="M24" s="10"/>
    </row>
    <row r="25" customFormat="false" ht="15" hidden="false" customHeight="false" outlineLevel="0" collapsed="false">
      <c r="A25" s="10"/>
      <c r="B25" s="10"/>
      <c r="C25" s="10"/>
      <c r="D25" s="10"/>
      <c r="E25" s="23"/>
      <c r="F25" s="11"/>
      <c r="G25" s="28"/>
      <c r="H25" s="29" t="str">
        <f aca="false">IF(OR(F25="",G25=""),"",F25+G25)</f>
        <v/>
      </c>
      <c r="I25" s="19" t="str">
        <f aca="false">IF(H25="","",H25-Dashboard!$C$5)</f>
        <v/>
      </c>
      <c r="J25" s="18" t="str">
        <f aca="false">IF(B25="","",IF(H25="","Not scheduled",IF(I25&lt;0,"Overdue",IF(I25&lt;=Lists!$N$6,"Due soon","Current"))))</f>
        <v/>
      </c>
      <c r="K25" s="23"/>
      <c r="L25" s="23"/>
      <c r="M25" s="10"/>
    </row>
    <row r="26" customFormat="false" ht="15" hidden="false" customHeight="false" outlineLevel="0" collapsed="false">
      <c r="A26" s="10"/>
      <c r="B26" s="10"/>
      <c r="C26" s="10"/>
      <c r="D26" s="10"/>
      <c r="E26" s="23"/>
      <c r="F26" s="11"/>
      <c r="G26" s="28"/>
      <c r="H26" s="29" t="str">
        <f aca="false">IF(OR(F26="",G26=""),"",F26+G26)</f>
        <v/>
      </c>
      <c r="I26" s="19" t="str">
        <f aca="false">IF(H26="","",H26-Dashboard!$C$5)</f>
        <v/>
      </c>
      <c r="J26" s="18" t="str">
        <f aca="false">IF(B26="","",IF(H26="","Not scheduled",IF(I26&lt;0,"Overdue",IF(I26&lt;=Lists!$N$6,"Due soon","Current"))))</f>
        <v/>
      </c>
      <c r="K26" s="23"/>
      <c r="L26" s="23"/>
      <c r="M26" s="10"/>
    </row>
    <row r="27" customFormat="false" ht="15" hidden="false" customHeight="false" outlineLevel="0" collapsed="false">
      <c r="A27" s="10"/>
      <c r="B27" s="10"/>
      <c r="C27" s="10"/>
      <c r="D27" s="10"/>
      <c r="E27" s="23"/>
      <c r="F27" s="11"/>
      <c r="G27" s="28"/>
      <c r="H27" s="29" t="str">
        <f aca="false">IF(OR(F27="",G27=""),"",F27+G27)</f>
        <v/>
      </c>
      <c r="I27" s="19" t="str">
        <f aca="false">IF(H27="","",H27-Dashboard!$C$5)</f>
        <v/>
      </c>
      <c r="J27" s="18" t="str">
        <f aca="false">IF(B27="","",IF(H27="","Not scheduled",IF(I27&lt;0,"Overdue",IF(I27&lt;=Lists!$N$6,"Due soon","Current"))))</f>
        <v/>
      </c>
      <c r="K27" s="23"/>
      <c r="L27" s="23"/>
      <c r="M27" s="10"/>
    </row>
    <row r="28" customFormat="false" ht="15" hidden="false" customHeight="false" outlineLevel="0" collapsed="false">
      <c r="A28" s="10"/>
      <c r="B28" s="10"/>
      <c r="C28" s="10"/>
      <c r="D28" s="10"/>
      <c r="E28" s="23"/>
      <c r="F28" s="11"/>
      <c r="G28" s="28"/>
      <c r="H28" s="29" t="str">
        <f aca="false">IF(OR(F28="",G28=""),"",F28+G28)</f>
        <v/>
      </c>
      <c r="I28" s="19" t="str">
        <f aca="false">IF(H28="","",H28-Dashboard!$C$5)</f>
        <v/>
      </c>
      <c r="J28" s="18" t="str">
        <f aca="false">IF(B28="","",IF(H28="","Not scheduled",IF(I28&lt;0,"Overdue",IF(I28&lt;=Lists!$N$6,"Due soon","Current"))))</f>
        <v/>
      </c>
      <c r="K28" s="23"/>
      <c r="L28" s="23"/>
      <c r="M28" s="10"/>
    </row>
    <row r="29" customFormat="false" ht="15" hidden="false" customHeight="false" outlineLevel="0" collapsed="false">
      <c r="A29" s="10"/>
      <c r="B29" s="10"/>
      <c r="C29" s="10"/>
      <c r="D29" s="10"/>
      <c r="E29" s="23"/>
      <c r="F29" s="11"/>
      <c r="G29" s="28"/>
      <c r="H29" s="29" t="str">
        <f aca="false">IF(OR(F29="",G29=""),"",F29+G29)</f>
        <v/>
      </c>
      <c r="I29" s="19" t="str">
        <f aca="false">IF(H29="","",H29-Dashboard!$C$5)</f>
        <v/>
      </c>
      <c r="J29" s="18" t="str">
        <f aca="false">IF(B29="","",IF(H29="","Not scheduled",IF(I29&lt;0,"Overdue",IF(I29&lt;=Lists!$N$6,"Due soon","Current"))))</f>
        <v/>
      </c>
      <c r="K29" s="23"/>
      <c r="L29" s="23"/>
      <c r="M29" s="10"/>
    </row>
    <row r="30" customFormat="false" ht="15" hidden="false" customHeight="false" outlineLevel="0" collapsed="false">
      <c r="A30" s="10"/>
      <c r="B30" s="10"/>
      <c r="C30" s="10"/>
      <c r="D30" s="10"/>
      <c r="E30" s="23"/>
      <c r="F30" s="11"/>
      <c r="G30" s="28"/>
      <c r="H30" s="29" t="str">
        <f aca="false">IF(OR(F30="",G30=""),"",F30+G30)</f>
        <v/>
      </c>
      <c r="I30" s="19" t="str">
        <f aca="false">IF(H30="","",H30-Dashboard!$C$5)</f>
        <v/>
      </c>
      <c r="J30" s="18" t="str">
        <f aca="false">IF(B30="","",IF(H30="","Not scheduled",IF(I30&lt;0,"Overdue",IF(I30&lt;=Lists!$N$6,"Due soon","Current"))))</f>
        <v/>
      </c>
      <c r="K30" s="23"/>
      <c r="L30" s="23"/>
      <c r="M30" s="10"/>
    </row>
    <row r="31" customFormat="false" ht="15" hidden="false" customHeight="false" outlineLevel="0" collapsed="false">
      <c r="A31" s="10"/>
      <c r="B31" s="10"/>
      <c r="C31" s="10"/>
      <c r="D31" s="10"/>
      <c r="E31" s="23"/>
      <c r="F31" s="11"/>
      <c r="G31" s="28"/>
      <c r="H31" s="29" t="str">
        <f aca="false">IF(OR(F31="",G31=""),"",F31+G31)</f>
        <v/>
      </c>
      <c r="I31" s="19" t="str">
        <f aca="false">IF(H31="","",H31-Dashboard!$C$5)</f>
        <v/>
      </c>
      <c r="J31" s="18" t="str">
        <f aca="false">IF(B31="","",IF(H31="","Not scheduled",IF(I31&lt;0,"Overdue",IF(I31&lt;=Lists!$N$6,"Due soon","Current"))))</f>
        <v/>
      </c>
      <c r="K31" s="23"/>
      <c r="L31" s="23"/>
      <c r="M31" s="10"/>
    </row>
    <row r="32" customFormat="false" ht="15" hidden="false" customHeight="false" outlineLevel="0" collapsed="false">
      <c r="A32" s="10"/>
      <c r="B32" s="10"/>
      <c r="C32" s="10"/>
      <c r="D32" s="10"/>
      <c r="E32" s="23"/>
      <c r="F32" s="11"/>
      <c r="G32" s="28"/>
      <c r="H32" s="29" t="str">
        <f aca="false">IF(OR(F32="",G32=""),"",F32+G32)</f>
        <v/>
      </c>
      <c r="I32" s="19" t="str">
        <f aca="false">IF(H32="","",H32-Dashboard!$C$5)</f>
        <v/>
      </c>
      <c r="J32" s="18" t="str">
        <f aca="false">IF(B32="","",IF(H32="","Not scheduled",IF(I32&lt;0,"Overdue",IF(I32&lt;=Lists!$N$6,"Due soon","Current"))))</f>
        <v/>
      </c>
      <c r="K32" s="23"/>
      <c r="L32" s="23"/>
      <c r="M32" s="10"/>
    </row>
    <row r="33" customFormat="false" ht="15" hidden="false" customHeight="false" outlineLevel="0" collapsed="false">
      <c r="A33" s="10"/>
      <c r="B33" s="10"/>
      <c r="C33" s="10"/>
      <c r="D33" s="10"/>
      <c r="E33" s="23"/>
      <c r="F33" s="11"/>
      <c r="G33" s="28"/>
      <c r="H33" s="29" t="str">
        <f aca="false">IF(OR(F33="",G33=""),"",F33+G33)</f>
        <v/>
      </c>
      <c r="I33" s="19" t="str">
        <f aca="false">IF(H33="","",H33-Dashboard!$C$5)</f>
        <v/>
      </c>
      <c r="J33" s="18" t="str">
        <f aca="false">IF(B33="","",IF(H33="","Not scheduled",IF(I33&lt;0,"Overdue",IF(I33&lt;=Lists!$N$6,"Due soon","Current"))))</f>
        <v/>
      </c>
      <c r="K33" s="23"/>
      <c r="L33" s="23"/>
      <c r="M33" s="10"/>
    </row>
    <row r="34" customFormat="false" ht="15" hidden="false" customHeight="false" outlineLevel="0" collapsed="false">
      <c r="A34" s="10"/>
      <c r="B34" s="10"/>
      <c r="C34" s="10"/>
      <c r="D34" s="10"/>
      <c r="E34" s="23"/>
      <c r="F34" s="11"/>
      <c r="G34" s="28"/>
      <c r="H34" s="29" t="str">
        <f aca="false">IF(OR(F34="",G34=""),"",F34+G34)</f>
        <v/>
      </c>
      <c r="I34" s="19" t="str">
        <f aca="false">IF(H34="","",H34-Dashboard!$C$5)</f>
        <v/>
      </c>
      <c r="J34" s="18" t="str">
        <f aca="false">IF(B34="","",IF(H34="","Not scheduled",IF(I34&lt;0,"Overdue",IF(I34&lt;=Lists!$N$6,"Due soon","Current"))))</f>
        <v/>
      </c>
      <c r="K34" s="23"/>
      <c r="L34" s="23"/>
      <c r="M34" s="10"/>
    </row>
    <row r="35" customFormat="false" ht="15" hidden="false" customHeight="false" outlineLevel="0" collapsed="false">
      <c r="A35" s="10"/>
      <c r="B35" s="10"/>
      <c r="C35" s="10"/>
      <c r="D35" s="10"/>
      <c r="E35" s="23"/>
      <c r="F35" s="11"/>
      <c r="G35" s="28"/>
      <c r="H35" s="29" t="str">
        <f aca="false">IF(OR(F35="",G35=""),"",F35+G35)</f>
        <v/>
      </c>
      <c r="I35" s="19" t="str">
        <f aca="false">IF(H35="","",H35-Dashboard!$C$5)</f>
        <v/>
      </c>
      <c r="J35" s="18" t="str">
        <f aca="false">IF(B35="","",IF(H35="","Not scheduled",IF(I35&lt;0,"Overdue",IF(I35&lt;=Lists!$N$6,"Due soon","Current"))))</f>
        <v/>
      </c>
      <c r="K35" s="23"/>
      <c r="L35" s="23"/>
      <c r="M35" s="10"/>
    </row>
    <row r="36" customFormat="false" ht="15" hidden="false" customHeight="false" outlineLevel="0" collapsed="false">
      <c r="A36" s="10"/>
      <c r="B36" s="10"/>
      <c r="C36" s="10"/>
      <c r="D36" s="10"/>
      <c r="E36" s="23"/>
      <c r="F36" s="11"/>
      <c r="G36" s="28"/>
      <c r="H36" s="29" t="str">
        <f aca="false">IF(OR(F36="",G36=""),"",F36+G36)</f>
        <v/>
      </c>
      <c r="I36" s="19" t="str">
        <f aca="false">IF(H36="","",H36-Dashboard!$C$5)</f>
        <v/>
      </c>
      <c r="J36" s="18" t="str">
        <f aca="false">IF(B36="","",IF(H36="","Not scheduled",IF(I36&lt;0,"Overdue",IF(I36&lt;=Lists!$N$6,"Due soon","Current"))))</f>
        <v/>
      </c>
      <c r="K36" s="23"/>
      <c r="L36" s="23"/>
      <c r="M36" s="10"/>
    </row>
    <row r="37" customFormat="false" ht="15" hidden="false" customHeight="false" outlineLevel="0" collapsed="false">
      <c r="A37" s="10"/>
      <c r="B37" s="10"/>
      <c r="C37" s="10"/>
      <c r="D37" s="10"/>
      <c r="E37" s="23"/>
      <c r="F37" s="11"/>
      <c r="G37" s="28"/>
      <c r="H37" s="29" t="str">
        <f aca="false">IF(OR(F37="",G37=""),"",F37+G37)</f>
        <v/>
      </c>
      <c r="I37" s="19" t="str">
        <f aca="false">IF(H37="","",H37-Dashboard!$C$5)</f>
        <v/>
      </c>
      <c r="J37" s="18" t="str">
        <f aca="false">IF(B37="","",IF(H37="","Not scheduled",IF(I37&lt;0,"Overdue",IF(I37&lt;=Lists!$N$6,"Due soon","Current"))))</f>
        <v/>
      </c>
      <c r="K37" s="23"/>
      <c r="L37" s="23"/>
      <c r="M37" s="10"/>
    </row>
    <row r="38" customFormat="false" ht="15" hidden="false" customHeight="false" outlineLevel="0" collapsed="false">
      <c r="A38" s="10"/>
      <c r="B38" s="10"/>
      <c r="C38" s="10"/>
      <c r="D38" s="10"/>
      <c r="E38" s="23"/>
      <c r="F38" s="11"/>
      <c r="G38" s="28"/>
      <c r="H38" s="29" t="str">
        <f aca="false">IF(OR(F38="",G38=""),"",F38+G38)</f>
        <v/>
      </c>
      <c r="I38" s="19" t="str">
        <f aca="false">IF(H38="","",H38-Dashboard!$C$5)</f>
        <v/>
      </c>
      <c r="J38" s="18" t="str">
        <f aca="false">IF(B38="","",IF(H38="","Not scheduled",IF(I38&lt;0,"Overdue",IF(I38&lt;=Lists!$N$6,"Due soon","Current"))))</f>
        <v/>
      </c>
      <c r="K38" s="23"/>
      <c r="L38" s="23"/>
      <c r="M38" s="10"/>
    </row>
    <row r="39" customFormat="false" ht="15" hidden="false" customHeight="false" outlineLevel="0" collapsed="false">
      <c r="A39" s="10"/>
      <c r="B39" s="10"/>
      <c r="C39" s="10"/>
      <c r="D39" s="10"/>
      <c r="E39" s="23"/>
      <c r="F39" s="11"/>
      <c r="G39" s="28"/>
      <c r="H39" s="29" t="str">
        <f aca="false">IF(OR(F39="",G39=""),"",F39+G39)</f>
        <v/>
      </c>
      <c r="I39" s="19" t="str">
        <f aca="false">IF(H39="","",H39-Dashboard!$C$5)</f>
        <v/>
      </c>
      <c r="J39" s="18" t="str">
        <f aca="false">IF(B39="","",IF(H39="","Not scheduled",IF(I39&lt;0,"Overdue",IF(I39&lt;=Lists!$N$6,"Due soon","Current"))))</f>
        <v/>
      </c>
      <c r="K39" s="23"/>
      <c r="L39" s="23"/>
      <c r="M39" s="10"/>
    </row>
    <row r="40" customFormat="false" ht="15" hidden="false" customHeight="false" outlineLevel="0" collapsed="false">
      <c r="A40" s="10"/>
      <c r="B40" s="10"/>
      <c r="C40" s="10"/>
      <c r="D40" s="10"/>
      <c r="E40" s="23"/>
      <c r="F40" s="11"/>
      <c r="G40" s="28"/>
      <c r="H40" s="29" t="str">
        <f aca="false">IF(OR(F40="",G40=""),"",F40+G40)</f>
        <v/>
      </c>
      <c r="I40" s="19" t="str">
        <f aca="false">IF(H40="","",H40-Dashboard!$C$5)</f>
        <v/>
      </c>
      <c r="J40" s="18" t="str">
        <f aca="false">IF(B40="","",IF(H40="","Not scheduled",IF(I40&lt;0,"Overdue",IF(I40&lt;=Lists!$N$6,"Due soon","Current"))))</f>
        <v/>
      </c>
      <c r="K40" s="23"/>
      <c r="L40" s="23"/>
      <c r="M40" s="10"/>
    </row>
    <row r="41" customFormat="false" ht="15" hidden="false" customHeight="false" outlineLevel="0" collapsed="false">
      <c r="A41" s="10"/>
      <c r="B41" s="10"/>
      <c r="C41" s="10"/>
      <c r="D41" s="10"/>
      <c r="E41" s="23"/>
      <c r="F41" s="11"/>
      <c r="G41" s="28"/>
      <c r="H41" s="29" t="str">
        <f aca="false">IF(OR(F41="",G41=""),"",F41+G41)</f>
        <v/>
      </c>
      <c r="I41" s="19" t="str">
        <f aca="false">IF(H41="","",H41-Dashboard!$C$5)</f>
        <v/>
      </c>
      <c r="J41" s="18" t="str">
        <f aca="false">IF(B41="","",IF(H41="","Not scheduled",IF(I41&lt;0,"Overdue",IF(I41&lt;=Lists!$N$6,"Due soon","Current"))))</f>
        <v/>
      </c>
      <c r="K41" s="23"/>
      <c r="L41" s="23"/>
      <c r="M41" s="10"/>
    </row>
    <row r="42" customFormat="false" ht="15" hidden="false" customHeight="false" outlineLevel="0" collapsed="false">
      <c r="A42" s="10"/>
      <c r="B42" s="10"/>
      <c r="C42" s="10"/>
      <c r="D42" s="10"/>
      <c r="E42" s="23"/>
      <c r="F42" s="11"/>
      <c r="G42" s="28"/>
      <c r="H42" s="29" t="str">
        <f aca="false">IF(OR(F42="",G42=""),"",F42+G42)</f>
        <v/>
      </c>
      <c r="I42" s="19" t="str">
        <f aca="false">IF(H42="","",H42-Dashboard!$C$5)</f>
        <v/>
      </c>
      <c r="J42" s="18" t="str">
        <f aca="false">IF(B42="","",IF(H42="","Not scheduled",IF(I42&lt;0,"Overdue",IF(I42&lt;=Lists!$N$6,"Due soon","Current"))))</f>
        <v/>
      </c>
      <c r="K42" s="23"/>
      <c r="L42" s="23"/>
      <c r="M42" s="10"/>
    </row>
    <row r="43" customFormat="false" ht="15" hidden="false" customHeight="false" outlineLevel="0" collapsed="false">
      <c r="A43" s="10"/>
      <c r="B43" s="10"/>
      <c r="C43" s="10"/>
      <c r="D43" s="10"/>
      <c r="E43" s="23"/>
      <c r="F43" s="11"/>
      <c r="G43" s="28"/>
      <c r="H43" s="29" t="str">
        <f aca="false">IF(OR(F43="",G43=""),"",F43+G43)</f>
        <v/>
      </c>
      <c r="I43" s="19" t="str">
        <f aca="false">IF(H43="","",H43-Dashboard!$C$5)</f>
        <v/>
      </c>
      <c r="J43" s="18" t="str">
        <f aca="false">IF(B43="","",IF(H43="","Not scheduled",IF(I43&lt;0,"Overdue",IF(I43&lt;=Lists!$N$6,"Due soon","Current"))))</f>
        <v/>
      </c>
      <c r="K43" s="23"/>
      <c r="L43" s="23"/>
      <c r="M43" s="10"/>
    </row>
    <row r="44" customFormat="false" ht="15" hidden="false" customHeight="false" outlineLevel="0" collapsed="false">
      <c r="A44" s="10"/>
      <c r="B44" s="10"/>
      <c r="C44" s="10"/>
      <c r="D44" s="10"/>
      <c r="E44" s="23"/>
      <c r="F44" s="11"/>
      <c r="G44" s="28"/>
      <c r="H44" s="29" t="str">
        <f aca="false">IF(OR(F44="",G44=""),"",F44+G44)</f>
        <v/>
      </c>
      <c r="I44" s="19" t="str">
        <f aca="false">IF(H44="","",H44-Dashboard!$C$5)</f>
        <v/>
      </c>
      <c r="J44" s="18" t="str">
        <f aca="false">IF(B44="","",IF(H44="","Not scheduled",IF(I44&lt;0,"Overdue",IF(I44&lt;=Lists!$N$6,"Due soon","Current"))))</f>
        <v/>
      </c>
      <c r="K44" s="23"/>
      <c r="L44" s="23"/>
      <c r="M44" s="10"/>
    </row>
    <row r="45" customFormat="false" ht="15" hidden="false" customHeight="false" outlineLevel="0" collapsed="false">
      <c r="A45" s="10"/>
      <c r="B45" s="10"/>
      <c r="C45" s="10"/>
      <c r="D45" s="10"/>
      <c r="E45" s="23"/>
      <c r="F45" s="11"/>
      <c r="G45" s="28"/>
      <c r="H45" s="29" t="str">
        <f aca="false">IF(OR(F45="",G45=""),"",F45+G45)</f>
        <v/>
      </c>
      <c r="I45" s="19" t="str">
        <f aca="false">IF(H45="","",H45-Dashboard!$C$5)</f>
        <v/>
      </c>
      <c r="J45" s="18" t="str">
        <f aca="false">IF(B45="","",IF(H45="","Not scheduled",IF(I45&lt;0,"Overdue",IF(I45&lt;=Lists!$N$6,"Due soon","Current"))))</f>
        <v/>
      </c>
      <c r="K45" s="23"/>
      <c r="L45" s="23"/>
      <c r="M45" s="10"/>
    </row>
    <row r="46" customFormat="false" ht="15" hidden="false" customHeight="false" outlineLevel="0" collapsed="false">
      <c r="A46" s="10"/>
      <c r="B46" s="10"/>
      <c r="C46" s="10"/>
      <c r="D46" s="10"/>
      <c r="E46" s="23"/>
      <c r="F46" s="11"/>
      <c r="G46" s="28"/>
      <c r="H46" s="29" t="str">
        <f aca="false">IF(OR(F46="",G46=""),"",F46+G46)</f>
        <v/>
      </c>
      <c r="I46" s="19" t="str">
        <f aca="false">IF(H46="","",H46-Dashboard!$C$5)</f>
        <v/>
      </c>
      <c r="J46" s="18" t="str">
        <f aca="false">IF(B46="","",IF(H46="","Not scheduled",IF(I46&lt;0,"Overdue",IF(I46&lt;=Lists!$N$6,"Due soon","Current"))))</f>
        <v/>
      </c>
      <c r="K46" s="23"/>
      <c r="L46" s="23"/>
      <c r="M46" s="10"/>
    </row>
    <row r="47" customFormat="false" ht="15" hidden="false" customHeight="false" outlineLevel="0" collapsed="false">
      <c r="A47" s="10"/>
      <c r="B47" s="10"/>
      <c r="C47" s="10"/>
      <c r="D47" s="10"/>
      <c r="E47" s="23"/>
      <c r="F47" s="11"/>
      <c r="G47" s="28"/>
      <c r="H47" s="29" t="str">
        <f aca="false">IF(OR(F47="",G47=""),"",F47+G47)</f>
        <v/>
      </c>
      <c r="I47" s="19" t="str">
        <f aca="false">IF(H47="","",H47-Dashboard!$C$5)</f>
        <v/>
      </c>
      <c r="J47" s="18" t="str">
        <f aca="false">IF(B47="","",IF(H47="","Not scheduled",IF(I47&lt;0,"Overdue",IF(I47&lt;=Lists!$N$6,"Due soon","Current"))))</f>
        <v/>
      </c>
      <c r="K47" s="23"/>
      <c r="L47" s="23"/>
      <c r="M47" s="10"/>
    </row>
    <row r="48" customFormat="false" ht="15" hidden="false" customHeight="false" outlineLevel="0" collapsed="false">
      <c r="A48" s="10"/>
      <c r="B48" s="10"/>
      <c r="C48" s="10"/>
      <c r="D48" s="10"/>
      <c r="E48" s="23"/>
      <c r="F48" s="11"/>
      <c r="G48" s="28"/>
      <c r="H48" s="29" t="str">
        <f aca="false">IF(OR(F48="",G48=""),"",F48+G48)</f>
        <v/>
      </c>
      <c r="I48" s="19" t="str">
        <f aca="false">IF(H48="","",H48-Dashboard!$C$5)</f>
        <v/>
      </c>
      <c r="J48" s="18" t="str">
        <f aca="false">IF(B48="","",IF(H48="","Not scheduled",IF(I48&lt;0,"Overdue",IF(I48&lt;=Lists!$N$6,"Due soon","Current"))))</f>
        <v/>
      </c>
      <c r="K48" s="23"/>
      <c r="L48" s="23"/>
      <c r="M48" s="10"/>
    </row>
    <row r="49" customFormat="false" ht="15" hidden="false" customHeight="false" outlineLevel="0" collapsed="false">
      <c r="A49" s="10"/>
      <c r="B49" s="10"/>
      <c r="C49" s="10"/>
      <c r="D49" s="10"/>
      <c r="E49" s="23"/>
      <c r="F49" s="11"/>
      <c r="G49" s="28"/>
      <c r="H49" s="29" t="str">
        <f aca="false">IF(OR(F49="",G49=""),"",F49+G49)</f>
        <v/>
      </c>
      <c r="I49" s="19" t="str">
        <f aca="false">IF(H49="","",H49-Dashboard!$C$5)</f>
        <v/>
      </c>
      <c r="J49" s="18" t="str">
        <f aca="false">IF(B49="","",IF(H49="","Not scheduled",IF(I49&lt;0,"Overdue",IF(I49&lt;=Lists!$N$6,"Due soon","Current"))))</f>
        <v/>
      </c>
      <c r="K49" s="23"/>
      <c r="L49" s="23"/>
      <c r="M49" s="10"/>
    </row>
    <row r="50" customFormat="false" ht="15" hidden="false" customHeight="false" outlineLevel="0" collapsed="false">
      <c r="A50" s="10"/>
      <c r="B50" s="10"/>
      <c r="C50" s="10"/>
      <c r="D50" s="10"/>
      <c r="E50" s="23"/>
      <c r="F50" s="11"/>
      <c r="G50" s="28"/>
      <c r="H50" s="29" t="str">
        <f aca="false">IF(OR(F50="",G50=""),"",F50+G50)</f>
        <v/>
      </c>
      <c r="I50" s="19" t="str">
        <f aca="false">IF(H50="","",H50-Dashboard!$C$5)</f>
        <v/>
      </c>
      <c r="J50" s="18" t="str">
        <f aca="false">IF(B50="","",IF(H50="","Not scheduled",IF(I50&lt;0,"Overdue",IF(I50&lt;=Lists!$N$6,"Due soon","Current"))))</f>
        <v/>
      </c>
      <c r="K50" s="23"/>
      <c r="L50" s="23"/>
      <c r="M50" s="10"/>
    </row>
    <row r="51" customFormat="false" ht="15" hidden="false" customHeight="false" outlineLevel="0" collapsed="false">
      <c r="A51" s="10"/>
      <c r="B51" s="10"/>
      <c r="C51" s="10"/>
      <c r="D51" s="10"/>
      <c r="E51" s="23"/>
      <c r="F51" s="11"/>
      <c r="G51" s="28"/>
      <c r="H51" s="29" t="str">
        <f aca="false">IF(OR(F51="",G51=""),"",F51+G51)</f>
        <v/>
      </c>
      <c r="I51" s="19" t="str">
        <f aca="false">IF(H51="","",H51-Dashboard!$C$5)</f>
        <v/>
      </c>
      <c r="J51" s="18" t="str">
        <f aca="false">IF(B51="","",IF(H51="","Not scheduled",IF(I51&lt;0,"Overdue",IF(I51&lt;=Lists!$N$6,"Due soon","Current"))))</f>
        <v/>
      </c>
      <c r="K51" s="23"/>
      <c r="L51" s="23"/>
      <c r="M51" s="10"/>
    </row>
    <row r="52" customFormat="false" ht="15" hidden="false" customHeight="false" outlineLevel="0" collapsed="false">
      <c r="A52" s="10"/>
      <c r="B52" s="10"/>
      <c r="C52" s="10"/>
      <c r="D52" s="10"/>
      <c r="E52" s="23"/>
      <c r="F52" s="11"/>
      <c r="G52" s="28"/>
      <c r="H52" s="29" t="str">
        <f aca="false">IF(OR(F52="",G52=""),"",F52+G52)</f>
        <v/>
      </c>
      <c r="I52" s="19" t="str">
        <f aca="false">IF(H52="","",H52-Dashboard!$C$5)</f>
        <v/>
      </c>
      <c r="J52" s="18" t="str">
        <f aca="false">IF(B52="","",IF(H52="","Not scheduled",IF(I52&lt;0,"Overdue",IF(I52&lt;=Lists!$N$6,"Due soon","Current"))))</f>
        <v/>
      </c>
      <c r="K52" s="23"/>
      <c r="L52" s="23"/>
      <c r="M52" s="10"/>
    </row>
    <row r="53" customFormat="false" ht="15" hidden="false" customHeight="false" outlineLevel="0" collapsed="false">
      <c r="A53" s="10"/>
      <c r="B53" s="10"/>
      <c r="C53" s="10"/>
      <c r="D53" s="10"/>
      <c r="E53" s="23"/>
      <c r="F53" s="11"/>
      <c r="G53" s="28"/>
      <c r="H53" s="29" t="str">
        <f aca="false">IF(OR(F53="",G53=""),"",F53+G53)</f>
        <v/>
      </c>
      <c r="I53" s="19" t="str">
        <f aca="false">IF(H53="","",H53-Dashboard!$C$5)</f>
        <v/>
      </c>
      <c r="J53" s="18" t="str">
        <f aca="false">IF(B53="","",IF(H53="","Not scheduled",IF(I53&lt;0,"Overdue",IF(I53&lt;=Lists!$N$6,"Due soon","Current"))))</f>
        <v/>
      </c>
      <c r="K53" s="23"/>
      <c r="L53" s="23"/>
      <c r="M53" s="10"/>
    </row>
    <row r="54" customFormat="false" ht="15" hidden="false" customHeight="false" outlineLevel="0" collapsed="false">
      <c r="A54" s="10"/>
      <c r="B54" s="10"/>
      <c r="C54" s="10"/>
      <c r="D54" s="10"/>
      <c r="E54" s="23"/>
      <c r="F54" s="11"/>
      <c r="G54" s="28"/>
      <c r="H54" s="29" t="str">
        <f aca="false">IF(OR(F54="",G54=""),"",F54+G54)</f>
        <v/>
      </c>
      <c r="I54" s="19" t="str">
        <f aca="false">IF(H54="","",H54-Dashboard!$C$5)</f>
        <v/>
      </c>
      <c r="J54" s="18" t="str">
        <f aca="false">IF(B54="","",IF(H54="","Not scheduled",IF(I54&lt;0,"Overdue",IF(I54&lt;=Lists!$N$6,"Due soon","Current"))))</f>
        <v/>
      </c>
      <c r="K54" s="23"/>
      <c r="L54" s="23"/>
      <c r="M54" s="10"/>
    </row>
  </sheetData>
  <conditionalFormatting sqref="J5:J54">
    <cfRule type="cellIs" priority="2" operator="equal" aboveAverage="0" equalAverage="0" bottom="0" percent="0" rank="0" text="" dxfId="0">
      <formula>"Current"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1">
      <formula>"Not scheduled"</formula>
    </cfRule>
    <cfRule type="cellIs" priority="5" operator="equal" aboveAverage="0" equalAverage="0" bottom="0" percent="0" rank="0" text="" dxfId="2">
      <formula>"Overdue"</formula>
    </cfRule>
  </conditionalFormatting>
  <conditionalFormatting sqref="E5:E54">
    <cfRule type="cellIs" priority="6" operator="equal" aboveAverage="0" equalAverage="0" bottom="0" percent="0" rank="0" text="" dxfId="0">
      <formula>"Good"</formula>
    </cfRule>
    <cfRule type="cellIs" priority="7" operator="equal" aboveAverage="0" equalAverage="0" bottom="0" percent="0" rank="0" text="" dxfId="1">
      <formula>"Fair"</formula>
    </cfRule>
    <cfRule type="cellIs" priority="8" operator="equal" aboveAverage="0" equalAverage="0" bottom="0" percent="0" rank="0" text="" dxfId="2">
      <formula>"Damaged"</formula>
    </cfRule>
    <cfRule type="cellIs" priority="9" operator="equal" aboveAverage="0" equalAverage="0" bottom="0" percent="0" rank="0" text="" dxfId="3">
      <formula>"Out of service"</formula>
    </cfRule>
  </conditionalFormatting>
  <conditionalFormatting sqref="L5:L54">
    <cfRule type="cellIs" priority="10" operator="equal" aboveAverage="0" equalAverage="0" bottom="0" percent="0" rank="0" text="" dxfId="0">
      <formula>"Yes"</formula>
    </cfRule>
    <cfRule type="cellIs" priority="11" operator="equal" aboveAverage="0" equalAverage="0" bottom="0" percent="0" rank="0" text="" dxfId="2">
      <formula>"No"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E5:E54" type="list">
      <formula1>Lists!$J$2:$J$5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K5:L5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228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12" t="s">
        <v>42</v>
      </c>
      <c r="B4" s="12" t="s">
        <v>229</v>
      </c>
      <c r="C4" s="12" t="s">
        <v>211</v>
      </c>
      <c r="D4" s="12" t="s">
        <v>230</v>
      </c>
      <c r="E4" s="12" t="s">
        <v>215</v>
      </c>
      <c r="F4" s="12" t="s">
        <v>216</v>
      </c>
      <c r="G4" s="12" t="s">
        <v>231</v>
      </c>
      <c r="H4" s="12" t="s">
        <v>232</v>
      </c>
      <c r="I4" s="12" t="s">
        <v>233</v>
      </c>
      <c r="J4" s="12" t="s">
        <v>221</v>
      </c>
    </row>
    <row r="5" customFormat="false" ht="26.85" hidden="false" customHeight="false" outlineLevel="0" collapsed="false">
      <c r="A5" s="18" t="n">
        <f aca="false">IF(B5="","",ROW()-4)</f>
        <v>1</v>
      </c>
      <c r="B5" s="6" t="s">
        <v>234</v>
      </c>
      <c r="C5" s="10" t="s">
        <v>99</v>
      </c>
      <c r="D5" s="11" t="n">
        <v>46280</v>
      </c>
      <c r="E5" s="28" t="n">
        <v>30</v>
      </c>
      <c r="F5" s="29" t="n">
        <f aca="false">IF(OR(D5="",E5=""),"",D5+E5)</f>
        <v>46310</v>
      </c>
      <c r="G5" s="23" t="s">
        <v>110</v>
      </c>
      <c r="H5" s="18" t="str">
        <f aca="false">IF(B5="","",IF(OR(D5="",G5=""),"Not checked",IF(G5="No","Not ready",IF(F5&lt;Dashboard!$C$5,"Test overdue","Ready"))))</f>
        <v>Ready</v>
      </c>
      <c r="I5" s="10" t="s">
        <v>195</v>
      </c>
      <c r="J5" s="10"/>
    </row>
    <row r="6" customFormat="false" ht="26.85" hidden="false" customHeight="false" outlineLevel="0" collapsed="false">
      <c r="A6" s="18" t="n">
        <f aca="false">IF(B6="","",ROW()-4)</f>
        <v>2</v>
      </c>
      <c r="B6" s="6" t="s">
        <v>235</v>
      </c>
      <c r="C6" s="10" t="s">
        <v>99</v>
      </c>
      <c r="D6" s="11" t="n">
        <v>46280</v>
      </c>
      <c r="E6" s="28" t="n">
        <v>180</v>
      </c>
      <c r="F6" s="29" t="n">
        <f aca="false">IF(OR(D6="",E6=""),"",D6+E6)</f>
        <v>46460</v>
      </c>
      <c r="G6" s="23" t="s">
        <v>110</v>
      </c>
      <c r="H6" s="18" t="str">
        <f aca="false">IF(B6="","",IF(OR(D6="",G6=""),"Not checked",IF(G6="No","Not ready",IF(F6&lt;Dashboard!$C$5,"Test overdue","Ready"))))</f>
        <v>Ready</v>
      </c>
      <c r="I6" s="10" t="s">
        <v>195</v>
      </c>
      <c r="J6" s="10"/>
    </row>
    <row r="7" customFormat="false" ht="26.85" hidden="false" customHeight="false" outlineLevel="0" collapsed="false">
      <c r="A7" s="18" t="n">
        <f aca="false">IF(B7="","",ROW()-4)</f>
        <v>3</v>
      </c>
      <c r="B7" s="6" t="s">
        <v>236</v>
      </c>
      <c r="C7" s="10" t="s">
        <v>99</v>
      </c>
      <c r="D7" s="11" t="n">
        <v>46280</v>
      </c>
      <c r="E7" s="28" t="n">
        <v>90</v>
      </c>
      <c r="F7" s="29" t="n">
        <f aca="false">IF(OR(D7="",E7=""),"",D7+E7)</f>
        <v>46370</v>
      </c>
      <c r="G7" s="23" t="s">
        <v>110</v>
      </c>
      <c r="H7" s="18" t="str">
        <f aca="false">IF(B7="","",IF(OR(D7="",G7=""),"Not checked",IF(G7="No","Not ready",IF(F7&lt;Dashboard!$C$5,"Test overdue","Ready"))))</f>
        <v>Ready</v>
      </c>
      <c r="I7" s="10" t="s">
        <v>195</v>
      </c>
      <c r="J7" s="10"/>
    </row>
    <row r="8" customFormat="false" ht="26.85" hidden="false" customHeight="false" outlineLevel="0" collapsed="false">
      <c r="A8" s="18" t="n">
        <f aca="false">IF(B8="","",ROW()-4)</f>
        <v>4</v>
      </c>
      <c r="B8" s="6" t="s">
        <v>237</v>
      </c>
      <c r="C8" s="10" t="s">
        <v>99</v>
      </c>
      <c r="D8" s="11" t="n">
        <v>46280</v>
      </c>
      <c r="E8" s="28" t="n">
        <v>90</v>
      </c>
      <c r="F8" s="29" t="n">
        <f aca="false">IF(OR(D8="",E8=""),"",D8+E8)</f>
        <v>46370</v>
      </c>
      <c r="G8" s="23" t="s">
        <v>110</v>
      </c>
      <c r="H8" s="18" t="str">
        <f aca="false">IF(B8="","",IF(OR(D8="",G8=""),"Not checked",IF(G8="No","Not ready",IF(F8&lt;Dashboard!$C$5,"Test overdue","Ready"))))</f>
        <v>Ready</v>
      </c>
      <c r="I8" s="10" t="s">
        <v>195</v>
      </c>
      <c r="J8" s="10"/>
    </row>
    <row r="9" customFormat="false" ht="26.85" hidden="false" customHeight="false" outlineLevel="0" collapsed="false">
      <c r="A9" s="18" t="n">
        <f aca="false">IF(B9="","",ROW()-4)</f>
        <v>5</v>
      </c>
      <c r="B9" s="6" t="s">
        <v>238</v>
      </c>
      <c r="C9" s="10" t="s">
        <v>99</v>
      </c>
      <c r="D9" s="11" t="n">
        <v>46280</v>
      </c>
      <c r="E9" s="28" t="n">
        <v>90</v>
      </c>
      <c r="F9" s="29" t="n">
        <f aca="false">IF(OR(D9="",E9=""),"",D9+E9)</f>
        <v>46370</v>
      </c>
      <c r="G9" s="23" t="s">
        <v>110</v>
      </c>
      <c r="H9" s="18" t="str">
        <f aca="false">IF(B9="","",IF(OR(D9="",G9=""),"Not checked",IF(G9="No","Not ready",IF(F9&lt;Dashboard!$C$5,"Test overdue","Ready"))))</f>
        <v>Ready</v>
      </c>
      <c r="I9" s="10" t="s">
        <v>195</v>
      </c>
      <c r="J9" s="10"/>
    </row>
    <row r="10" customFormat="false" ht="26.85" hidden="false" customHeight="false" outlineLevel="0" collapsed="false">
      <c r="A10" s="18" t="n">
        <f aca="false">IF(B10="","",ROW()-4)</f>
        <v>6</v>
      </c>
      <c r="B10" s="6" t="s">
        <v>239</v>
      </c>
      <c r="C10" s="10" t="s">
        <v>99</v>
      </c>
      <c r="D10" s="11" t="n">
        <v>46280</v>
      </c>
      <c r="E10" s="28" t="n">
        <v>30</v>
      </c>
      <c r="F10" s="29" t="n">
        <f aca="false">IF(OR(D10="",E10=""),"",D10+E10)</f>
        <v>46310</v>
      </c>
      <c r="G10" s="23" t="s">
        <v>110</v>
      </c>
      <c r="H10" s="18" t="str">
        <f aca="false">IF(B10="","",IF(OR(D10="",G10=""),"Not checked",IF(G10="No","Not ready",IF(F10&lt;Dashboard!$C$5,"Test overdue","Ready"))))</f>
        <v>Ready</v>
      </c>
      <c r="I10" s="10" t="s">
        <v>195</v>
      </c>
      <c r="J10" s="10"/>
    </row>
    <row r="11" customFormat="false" ht="26.85" hidden="false" customHeight="false" outlineLevel="0" collapsed="false">
      <c r="A11" s="18" t="n">
        <f aca="false">IF(B11="","",ROW()-4)</f>
        <v>7</v>
      </c>
      <c r="B11" s="6" t="s">
        <v>240</v>
      </c>
      <c r="C11" s="10" t="s">
        <v>99</v>
      </c>
      <c r="D11" s="11" t="n">
        <v>46280</v>
      </c>
      <c r="E11" s="28" t="n">
        <v>90</v>
      </c>
      <c r="F11" s="29" t="n">
        <f aca="false">IF(OR(D11="",E11=""),"",D11+E11)</f>
        <v>46370</v>
      </c>
      <c r="G11" s="23" t="s">
        <v>110</v>
      </c>
      <c r="H11" s="18" t="str">
        <f aca="false">IF(B11="","",IF(OR(D11="",G11=""),"Not checked",IF(G11="No","Not ready",IF(F11&lt;Dashboard!$C$5,"Test overdue","Ready"))))</f>
        <v>Ready</v>
      </c>
      <c r="I11" s="10" t="s">
        <v>195</v>
      </c>
      <c r="J11" s="10"/>
    </row>
    <row r="12" customFormat="false" ht="26.85" hidden="false" customHeight="false" outlineLevel="0" collapsed="false">
      <c r="A12" s="18" t="n">
        <f aca="false">IF(B12="","",ROW()-4)</f>
        <v>8</v>
      </c>
      <c r="B12" s="6" t="s">
        <v>241</v>
      </c>
      <c r="C12" s="10" t="s">
        <v>99</v>
      </c>
      <c r="D12" s="11" t="n">
        <v>46280</v>
      </c>
      <c r="E12" s="28" t="n">
        <v>180</v>
      </c>
      <c r="F12" s="29" t="n">
        <f aca="false">IF(OR(D12="",E12=""),"",D12+E12)</f>
        <v>46460</v>
      </c>
      <c r="G12" s="23" t="s">
        <v>110</v>
      </c>
      <c r="H12" s="18" t="str">
        <f aca="false">IF(B12="","",IF(OR(D12="",G12=""),"Not checked",IF(G12="No","Not ready",IF(F12&lt;Dashboard!$C$5,"Test overdue","Ready"))))</f>
        <v>Ready</v>
      </c>
      <c r="I12" s="10" t="s">
        <v>195</v>
      </c>
      <c r="J12" s="10"/>
    </row>
    <row r="13" customFormat="false" ht="26.85" hidden="false" customHeight="false" outlineLevel="0" collapsed="false">
      <c r="A13" s="18" t="n">
        <f aca="false">IF(B13="","",ROW()-4)</f>
        <v>9</v>
      </c>
      <c r="B13" s="6" t="s">
        <v>242</v>
      </c>
      <c r="C13" s="10" t="s">
        <v>99</v>
      </c>
      <c r="D13" s="11" t="n">
        <v>46280</v>
      </c>
      <c r="E13" s="28" t="n">
        <v>90</v>
      </c>
      <c r="F13" s="29" t="n">
        <f aca="false">IF(OR(D13="",E13=""),"",D13+E13)</f>
        <v>46370</v>
      </c>
      <c r="G13" s="23" t="s">
        <v>110</v>
      </c>
      <c r="H13" s="18" t="str">
        <f aca="false">IF(B13="","",IF(OR(D13="",G13=""),"Not checked",IF(G13="No","Not ready",IF(F13&lt;Dashboard!$C$5,"Test overdue","Ready"))))</f>
        <v>Ready</v>
      </c>
      <c r="I13" s="10" t="s">
        <v>195</v>
      </c>
      <c r="J13" s="10"/>
    </row>
    <row r="14" customFormat="false" ht="26.85" hidden="false" customHeight="false" outlineLevel="0" collapsed="false">
      <c r="A14" s="18" t="n">
        <f aca="false">IF(B14="","",ROW()-4)</f>
        <v>10</v>
      </c>
      <c r="B14" s="6" t="s">
        <v>243</v>
      </c>
      <c r="C14" s="10" t="s">
        <v>99</v>
      </c>
      <c r="D14" s="11" t="n">
        <v>46280</v>
      </c>
      <c r="E14" s="28" t="n">
        <v>30</v>
      </c>
      <c r="F14" s="29" t="n">
        <f aca="false">IF(OR(D14="",E14=""),"",D14+E14)</f>
        <v>46310</v>
      </c>
      <c r="G14" s="23" t="s">
        <v>110</v>
      </c>
      <c r="H14" s="18" t="str">
        <f aca="false">IF(B14="","",IF(OR(D14="",G14=""),"Not checked",IF(G14="No","Not ready",IF(F14&lt;Dashboard!$C$5,"Test overdue","Ready"))))</f>
        <v>Ready</v>
      </c>
      <c r="I14" s="10" t="s">
        <v>195</v>
      </c>
      <c r="J14" s="10"/>
    </row>
    <row r="15" customFormat="false" ht="26.85" hidden="false" customHeight="false" outlineLevel="0" collapsed="false">
      <c r="A15" s="18" t="n">
        <f aca="false">IF(B15="","",ROW()-4)</f>
        <v>11</v>
      </c>
      <c r="B15" s="6" t="s">
        <v>244</v>
      </c>
      <c r="C15" s="10" t="s">
        <v>99</v>
      </c>
      <c r="D15" s="11" t="n">
        <v>46280</v>
      </c>
      <c r="E15" s="28" t="n">
        <v>30</v>
      </c>
      <c r="F15" s="29" t="n">
        <f aca="false">IF(OR(D15="",E15=""),"",D15+E15)</f>
        <v>46310</v>
      </c>
      <c r="G15" s="23" t="s">
        <v>113</v>
      </c>
      <c r="H15" s="18" t="str">
        <f aca="false">IF(B15="","",IF(OR(D15="",G15=""),"Not checked",IF(G15="No","Not ready",IF(F15&lt;Dashboard!$C$5,"Test overdue","Ready"))))</f>
        <v>Not ready</v>
      </c>
      <c r="I15" s="10" t="s">
        <v>195</v>
      </c>
      <c r="J15" s="10" t="s">
        <v>245</v>
      </c>
    </row>
    <row r="16" customFormat="false" ht="26.85" hidden="false" customHeight="false" outlineLevel="0" collapsed="false">
      <c r="A16" s="18" t="n">
        <f aca="false">IF(B16="","",ROW()-4)</f>
        <v>12</v>
      </c>
      <c r="B16" s="6" t="s">
        <v>246</v>
      </c>
      <c r="C16" s="10" t="s">
        <v>99</v>
      </c>
      <c r="D16" s="11" t="n">
        <v>46280</v>
      </c>
      <c r="E16" s="28" t="n">
        <v>180</v>
      </c>
      <c r="F16" s="29" t="n">
        <f aca="false">IF(OR(D16="",E16=""),"",D16+E16)</f>
        <v>46460</v>
      </c>
      <c r="G16" s="23" t="s">
        <v>110</v>
      </c>
      <c r="H16" s="18" t="str">
        <f aca="false">IF(B16="","",IF(OR(D16="",G16=""),"Not checked",IF(G16="No","Not ready",IF(F16&lt;Dashboard!$C$5,"Test overdue","Ready"))))</f>
        <v>Ready</v>
      </c>
      <c r="I16" s="10" t="s">
        <v>195</v>
      </c>
      <c r="J16" s="10"/>
    </row>
    <row r="17" customFormat="false" ht="15" hidden="false" customHeight="false" outlineLevel="0" collapsed="false">
      <c r="A17" s="18" t="str">
        <f aca="false">IF(B17="","",ROW()-4)</f>
        <v/>
      </c>
      <c r="B17" s="10"/>
      <c r="C17" s="10"/>
      <c r="D17" s="11"/>
      <c r="E17" s="28"/>
      <c r="F17" s="29" t="str">
        <f aca="false">IF(OR(D17="",E17=""),"",D17+E17)</f>
        <v/>
      </c>
      <c r="G17" s="23"/>
      <c r="H17" s="18" t="str">
        <f aca="false">IF(B17="","",IF(OR(D17="",G17=""),"Not checked",IF(G17="No","Not ready",IF(F17&lt;Dashboard!$C$5,"Test overdue","Ready"))))</f>
        <v/>
      </c>
      <c r="I17" s="10"/>
      <c r="J17" s="10"/>
    </row>
    <row r="18" customFormat="false" ht="15" hidden="false" customHeight="false" outlineLevel="0" collapsed="false">
      <c r="A18" s="18" t="str">
        <f aca="false">IF(B18="","",ROW()-4)</f>
        <v/>
      </c>
      <c r="B18" s="10"/>
      <c r="C18" s="10"/>
      <c r="D18" s="11"/>
      <c r="E18" s="28"/>
      <c r="F18" s="29" t="str">
        <f aca="false">IF(OR(D18="",E18=""),"",D18+E18)</f>
        <v/>
      </c>
      <c r="G18" s="23"/>
      <c r="H18" s="18" t="str">
        <f aca="false">IF(B18="","",IF(OR(D18="",G18=""),"Not checked",IF(G18="No","Not ready",IF(F18&lt;Dashboard!$C$5,"Test overdue","Ready"))))</f>
        <v/>
      </c>
      <c r="I18" s="10"/>
      <c r="J18" s="10"/>
    </row>
    <row r="19" customFormat="false" ht="15" hidden="false" customHeight="false" outlineLevel="0" collapsed="false">
      <c r="A19" s="18" t="str">
        <f aca="false">IF(B19="","",ROW()-4)</f>
        <v/>
      </c>
      <c r="B19" s="10"/>
      <c r="C19" s="10"/>
      <c r="D19" s="11"/>
      <c r="E19" s="28"/>
      <c r="F19" s="29" t="str">
        <f aca="false">IF(OR(D19="",E19=""),"",D19+E19)</f>
        <v/>
      </c>
      <c r="G19" s="23"/>
      <c r="H19" s="18" t="str">
        <f aca="false">IF(B19="","",IF(OR(D19="",G19=""),"Not checked",IF(G19="No","Not ready",IF(F19&lt;Dashboard!$C$5,"Test overdue","Ready"))))</f>
        <v/>
      </c>
      <c r="I19" s="10"/>
      <c r="J19" s="10"/>
    </row>
    <row r="20" customFormat="false" ht="15" hidden="false" customHeight="false" outlineLevel="0" collapsed="false">
      <c r="A20" s="18" t="str">
        <f aca="false">IF(B20="","",ROW()-4)</f>
        <v/>
      </c>
      <c r="B20" s="10"/>
      <c r="C20" s="10"/>
      <c r="D20" s="11"/>
      <c r="E20" s="28"/>
      <c r="F20" s="29" t="str">
        <f aca="false">IF(OR(D20="",E20=""),"",D20+E20)</f>
        <v/>
      </c>
      <c r="G20" s="23"/>
      <c r="H20" s="18" t="str">
        <f aca="false">IF(B20="","",IF(OR(D20="",G20=""),"Not checked",IF(G20="No","Not ready",IF(F20&lt;Dashboard!$C$5,"Test overdue","Ready"))))</f>
        <v/>
      </c>
      <c r="I20" s="10"/>
      <c r="J20" s="10"/>
    </row>
    <row r="21" customFormat="false" ht="15" hidden="false" customHeight="false" outlineLevel="0" collapsed="false">
      <c r="A21" s="18" t="str">
        <f aca="false">IF(B21="","",ROW()-4)</f>
        <v/>
      </c>
      <c r="B21" s="10"/>
      <c r="C21" s="10"/>
      <c r="D21" s="11"/>
      <c r="E21" s="28"/>
      <c r="F21" s="29" t="str">
        <f aca="false">IF(OR(D21="",E21=""),"",D21+E21)</f>
        <v/>
      </c>
      <c r="G21" s="23"/>
      <c r="H21" s="18" t="str">
        <f aca="false">IF(B21="","",IF(OR(D21="",G21=""),"Not checked",IF(G21="No","Not ready",IF(F21&lt;Dashboard!$C$5,"Test overdue","Ready"))))</f>
        <v/>
      </c>
      <c r="I21" s="10"/>
      <c r="J21" s="10"/>
    </row>
    <row r="22" customFormat="false" ht="15" hidden="false" customHeight="false" outlineLevel="0" collapsed="false">
      <c r="A22" s="18" t="str">
        <f aca="false">IF(B22="","",ROW()-4)</f>
        <v/>
      </c>
      <c r="B22" s="10"/>
      <c r="C22" s="10"/>
      <c r="D22" s="11"/>
      <c r="E22" s="28"/>
      <c r="F22" s="29" t="str">
        <f aca="false">IF(OR(D22="",E22=""),"",D22+E22)</f>
        <v/>
      </c>
      <c r="G22" s="23"/>
      <c r="H22" s="18" t="str">
        <f aca="false">IF(B22="","",IF(OR(D22="",G22=""),"Not checked",IF(G22="No","Not ready",IF(F22&lt;Dashboard!$C$5,"Test overdue","Ready"))))</f>
        <v/>
      </c>
      <c r="I22" s="10"/>
      <c r="J22" s="10"/>
    </row>
    <row r="23" customFormat="false" ht="15" hidden="false" customHeight="false" outlineLevel="0" collapsed="false">
      <c r="A23" s="18" t="str">
        <f aca="false">IF(B23="","",ROW()-4)</f>
        <v/>
      </c>
      <c r="B23" s="10"/>
      <c r="C23" s="10"/>
      <c r="D23" s="11"/>
      <c r="E23" s="28"/>
      <c r="F23" s="29" t="str">
        <f aca="false">IF(OR(D23="",E23=""),"",D23+E23)</f>
        <v/>
      </c>
      <c r="G23" s="23"/>
      <c r="H23" s="18" t="str">
        <f aca="false">IF(B23="","",IF(OR(D23="",G23=""),"Not checked",IF(G23="No","Not ready",IF(F23&lt;Dashboard!$C$5,"Test overdue","Ready"))))</f>
        <v/>
      </c>
      <c r="I23" s="10"/>
      <c r="J23" s="10"/>
    </row>
    <row r="24" customFormat="false" ht="15" hidden="false" customHeight="false" outlineLevel="0" collapsed="false">
      <c r="A24" s="18" t="str">
        <f aca="false">IF(B24="","",ROW()-4)</f>
        <v/>
      </c>
      <c r="B24" s="10"/>
      <c r="C24" s="10"/>
      <c r="D24" s="11"/>
      <c r="E24" s="28"/>
      <c r="F24" s="29" t="str">
        <f aca="false">IF(OR(D24="",E24=""),"",D24+E24)</f>
        <v/>
      </c>
      <c r="G24" s="23"/>
      <c r="H24" s="18" t="str">
        <f aca="false">IF(B24="","",IF(OR(D24="",G24=""),"Not checked",IF(G24="No","Not ready",IF(F24&lt;Dashboard!$C$5,"Test overdue","Ready"))))</f>
        <v/>
      </c>
      <c r="I24" s="10"/>
      <c r="J24" s="10"/>
    </row>
  </sheetData>
  <conditionalFormatting sqref="H5:H24">
    <cfRule type="cellIs" priority="2" operator="equal" aboveAverage="0" equalAverage="0" bottom="0" percent="0" rank="0" text="" dxfId="0">
      <formula>"Ready"</formula>
    </cfRule>
    <cfRule type="cellIs" priority="3" operator="equal" aboveAverage="0" equalAverage="0" bottom="0" percent="0" rank="0" text="" dxfId="1">
      <formula>"Not checked"</formula>
    </cfRule>
    <cfRule type="cellIs" priority="4" operator="equal" aboveAverage="0" equalAverage="0" bottom="0" percent="0" rank="0" text="" dxfId="2">
      <formula>"Not ready"</formula>
    </cfRule>
    <cfRule type="cellIs" priority="5" operator="equal" aboveAverage="0" equalAverage="0" bottom="0" percent="0" rank="0" text="" dxfId="2">
      <formula>"Test overdue"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G5:G2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247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248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12" t="s">
        <v>249</v>
      </c>
      <c r="B4" s="12" t="s">
        <v>250</v>
      </c>
      <c r="C4" s="12" t="s">
        <v>251</v>
      </c>
      <c r="D4" s="12" t="s">
        <v>252</v>
      </c>
      <c r="E4" s="12" t="s">
        <v>253</v>
      </c>
      <c r="F4" s="12" t="s">
        <v>254</v>
      </c>
      <c r="G4" s="12" t="s">
        <v>48</v>
      </c>
      <c r="H4" s="12" t="s">
        <v>221</v>
      </c>
    </row>
    <row r="5" customFormat="false" ht="26.85" hidden="false" customHeight="false" outlineLevel="0" collapsed="false">
      <c r="A5" s="10" t="s">
        <v>255</v>
      </c>
      <c r="B5" s="10" t="s">
        <v>256</v>
      </c>
      <c r="C5" s="23" t="n">
        <v>10</v>
      </c>
      <c r="D5" s="23" t="n">
        <v>10</v>
      </c>
      <c r="E5" s="23" t="s">
        <v>110</v>
      </c>
      <c r="F5" s="30" t="n">
        <f aca="false">IF(OR(C5="",D5="",C5=0),"",MIN(D5/C5,1))</f>
        <v>1</v>
      </c>
      <c r="G5" s="18" t="str">
        <f aca="false">IF(F5="","",IF(E5="No","Replace",IF(F5&gt;=1,"Adequate",IF(F5&gt;=0.8,"Low stock","Shortage"))))</f>
        <v>Adequate</v>
      </c>
      <c r="H5" s="10"/>
    </row>
    <row r="6" customFormat="false" ht="15" hidden="false" customHeight="false" outlineLevel="0" collapsed="false">
      <c r="A6" s="10" t="s">
        <v>257</v>
      </c>
      <c r="B6" s="10" t="s">
        <v>258</v>
      </c>
      <c r="C6" s="23" t="n">
        <v>20</v>
      </c>
      <c r="D6" s="23" t="n">
        <v>20</v>
      </c>
      <c r="E6" s="23" t="s">
        <v>110</v>
      </c>
      <c r="F6" s="30" t="n">
        <f aca="false">IF(OR(C6="",D6="",C6=0),"",MIN(D6/C6,1))</f>
        <v>1</v>
      </c>
      <c r="G6" s="18" t="str">
        <f aca="false">IF(F6="","",IF(E6="No","Replace",IF(F6&gt;=1,"Adequate",IF(F6&gt;=0.8,"Low stock","Shortage"))))</f>
        <v>Adequate</v>
      </c>
      <c r="H6" s="10"/>
    </row>
    <row r="7" customFormat="false" ht="15" hidden="false" customHeight="false" outlineLevel="0" collapsed="false">
      <c r="A7" s="10" t="s">
        <v>257</v>
      </c>
      <c r="B7" s="10" t="s">
        <v>259</v>
      </c>
      <c r="C7" s="23" t="n">
        <v>15</v>
      </c>
      <c r="D7" s="23" t="n">
        <v>13</v>
      </c>
      <c r="E7" s="23" t="s">
        <v>110</v>
      </c>
      <c r="F7" s="30" t="n">
        <f aca="false">IF(OR(C7="",D7="",C7=0),"",MIN(D7/C7,1))</f>
        <v>0.866666666666667</v>
      </c>
      <c r="G7" s="18" t="str">
        <f aca="false">IF(F7="","",IF(E7="No","Replace",IF(F7&gt;=1,"Adequate",IF(F7&gt;=0.8,"Low stock","Shortage"))))</f>
        <v>Low stock</v>
      </c>
      <c r="H7" s="10"/>
    </row>
    <row r="8" customFormat="false" ht="15" hidden="false" customHeight="false" outlineLevel="0" collapsed="false">
      <c r="A8" s="10" t="s">
        <v>257</v>
      </c>
      <c r="B8" s="10" t="s">
        <v>260</v>
      </c>
      <c r="C8" s="23" t="n">
        <v>15</v>
      </c>
      <c r="D8" s="23" t="n">
        <v>15</v>
      </c>
      <c r="E8" s="23" t="s">
        <v>110</v>
      </c>
      <c r="F8" s="30" t="n">
        <f aca="false">IF(OR(C8="",D8="",C8=0),"",MIN(D8/C8,1))</f>
        <v>1</v>
      </c>
      <c r="G8" s="18" t="str">
        <f aca="false">IF(F8="","",IF(E8="No","Replace",IF(F8&gt;=1,"Adequate",IF(F8&gt;=0.8,"Low stock","Shortage"))))</f>
        <v>Adequate</v>
      </c>
      <c r="H8" s="10"/>
    </row>
    <row r="9" customFormat="false" ht="15" hidden="false" customHeight="false" outlineLevel="0" collapsed="false">
      <c r="A9" s="10" t="s">
        <v>261</v>
      </c>
      <c r="B9" s="10" t="s">
        <v>262</v>
      </c>
      <c r="C9" s="23" t="n">
        <v>30</v>
      </c>
      <c r="D9" s="23" t="n">
        <v>28</v>
      </c>
      <c r="E9" s="23" t="s">
        <v>110</v>
      </c>
      <c r="F9" s="30" t="n">
        <f aca="false">IF(OR(C9="",D9="",C9=0),"",MIN(D9/C9,1))</f>
        <v>0.933333333333333</v>
      </c>
      <c r="G9" s="18" t="str">
        <f aca="false">IF(F9="","",IF(E9="No","Replace",IF(F9&gt;=1,"Adequate",IF(F9&gt;=0.8,"Low stock","Shortage"))))</f>
        <v>Low stock</v>
      </c>
      <c r="H9" s="10"/>
    </row>
    <row r="10" customFormat="false" ht="15" hidden="false" customHeight="false" outlineLevel="0" collapsed="false">
      <c r="A10" s="10" t="s">
        <v>261</v>
      </c>
      <c r="B10" s="10" t="s">
        <v>263</v>
      </c>
      <c r="C10" s="23" t="n">
        <v>10</v>
      </c>
      <c r="D10" s="23" t="n">
        <v>10</v>
      </c>
      <c r="E10" s="23" t="s">
        <v>110</v>
      </c>
      <c r="F10" s="30" t="n">
        <f aca="false">IF(OR(C10="",D10="",C10=0),"",MIN(D10/C10,1))</f>
        <v>1</v>
      </c>
      <c r="G10" s="18" t="str">
        <f aca="false">IF(F10="","",IF(E10="No","Replace",IF(F10&gt;=1,"Adequate",IF(F10&gt;=0.8,"Low stock","Shortage"))))</f>
        <v>Adequate</v>
      </c>
      <c r="H10" s="10"/>
    </row>
    <row r="11" customFormat="false" ht="15" hidden="false" customHeight="false" outlineLevel="0" collapsed="false">
      <c r="A11" s="10" t="s">
        <v>264</v>
      </c>
      <c r="B11" s="10" t="s">
        <v>265</v>
      </c>
      <c r="C11" s="23" t="n">
        <v>6</v>
      </c>
      <c r="D11" s="23" t="n">
        <v>6</v>
      </c>
      <c r="E11" s="23" t="s">
        <v>110</v>
      </c>
      <c r="F11" s="30" t="n">
        <f aca="false">IF(OR(C11="",D11="",C11=0),"",MIN(D11/C11,1))</f>
        <v>1</v>
      </c>
      <c r="G11" s="18" t="str">
        <f aca="false">IF(F11="","",IF(E11="No","Replace",IF(F11&gt;=1,"Adequate",IF(F11&gt;=0.8,"Low stock","Shortage"))))</f>
        <v>Adequate</v>
      </c>
      <c r="H11" s="10"/>
    </row>
    <row r="12" customFormat="false" ht="15" hidden="false" customHeight="false" outlineLevel="0" collapsed="false">
      <c r="A12" s="10" t="s">
        <v>266</v>
      </c>
      <c r="B12" s="10" t="s">
        <v>267</v>
      </c>
      <c r="C12" s="23" t="n">
        <v>10</v>
      </c>
      <c r="D12" s="23" t="n">
        <v>10</v>
      </c>
      <c r="E12" s="23" t="s">
        <v>110</v>
      </c>
      <c r="F12" s="30" t="n">
        <f aca="false">IF(OR(C12="",D12="",C12=0),"",MIN(D12/C12,1))</f>
        <v>1</v>
      </c>
      <c r="G12" s="18" t="str">
        <f aca="false">IF(F12="","",IF(E12="No","Replace",IF(F12&gt;=1,"Adequate",IF(F12&gt;=0.8,"Low stock","Shortage"))))</f>
        <v>Adequate</v>
      </c>
      <c r="H12" s="10"/>
    </row>
    <row r="13" customFormat="false" ht="15" hidden="false" customHeight="false" outlineLevel="0" collapsed="false">
      <c r="A13" s="10" t="s">
        <v>268</v>
      </c>
      <c r="B13" s="10" t="s">
        <v>269</v>
      </c>
      <c r="C13" s="23" t="n">
        <v>4</v>
      </c>
      <c r="D13" s="23" t="n">
        <v>4</v>
      </c>
      <c r="E13" s="23" t="s">
        <v>110</v>
      </c>
      <c r="F13" s="30" t="n">
        <f aca="false">IF(OR(C13="",D13="",C13=0),"",MIN(D13/C13,1))</f>
        <v>1</v>
      </c>
      <c r="G13" s="18" t="str">
        <f aca="false">IF(F13="","",IF(E13="No","Replace",IF(F13&gt;=1,"Adequate",IF(F13&gt;=0.8,"Low stock","Shortage"))))</f>
        <v>Adequate</v>
      </c>
      <c r="H13" s="10"/>
    </row>
    <row r="14" customFormat="false" ht="15" hidden="false" customHeight="false" outlineLevel="0" collapsed="false">
      <c r="A14" s="10" t="s">
        <v>270</v>
      </c>
      <c r="B14" s="10" t="s">
        <v>271</v>
      </c>
      <c r="C14" s="23" t="n">
        <v>50</v>
      </c>
      <c r="D14" s="23" t="n">
        <v>50</v>
      </c>
      <c r="E14" s="23" t="s">
        <v>110</v>
      </c>
      <c r="F14" s="30" t="n">
        <f aca="false">IF(OR(C14="",D14="",C14=0),"",MIN(D14/C14,1))</f>
        <v>1</v>
      </c>
      <c r="G14" s="18" t="str">
        <f aca="false">IF(F14="","",IF(E14="No","Replace",IF(F14&gt;=1,"Adequate",IF(F14&gt;=0.8,"Low stock","Shortage"))))</f>
        <v>Adequate</v>
      </c>
      <c r="H14" s="10"/>
    </row>
    <row r="15" customFormat="false" ht="15" hidden="false" customHeight="false" outlineLevel="0" collapsed="false">
      <c r="A15" s="10" t="s">
        <v>272</v>
      </c>
      <c r="B15" s="10" t="s">
        <v>273</v>
      </c>
      <c r="C15" s="23" t="n">
        <v>40</v>
      </c>
      <c r="D15" s="23" t="n">
        <v>40</v>
      </c>
      <c r="E15" s="23" t="s">
        <v>110</v>
      </c>
      <c r="F15" s="30" t="n">
        <f aca="false">IF(OR(C15="",D15="",C15=0),"",MIN(D15/C15,1))</f>
        <v>1</v>
      </c>
      <c r="G15" s="18" t="str">
        <f aca="false">IF(F15="","",IF(E15="No","Replace",IF(F15&gt;=1,"Adequate",IF(F15&gt;=0.8,"Low stock","Shortage"))))</f>
        <v>Adequate</v>
      </c>
      <c r="H15" s="10"/>
    </row>
    <row r="16" customFormat="false" ht="15" hidden="false" customHeight="false" outlineLevel="0" collapsed="false">
      <c r="A16" s="10"/>
      <c r="B16" s="10"/>
      <c r="C16" s="23"/>
      <c r="D16" s="23"/>
      <c r="E16" s="23"/>
      <c r="F16" s="30" t="str">
        <f aca="false">IF(OR(C16="",D16="",C16=0),"",MIN(D16/C16,1))</f>
        <v/>
      </c>
      <c r="G16" s="18" t="str">
        <f aca="false">IF(F16="","",IF(E16="No","Replace",IF(F16&gt;=1,"Adequate",IF(F16&gt;=0.8,"Low stock","Shortage"))))</f>
        <v/>
      </c>
      <c r="H16" s="10"/>
    </row>
    <row r="17" customFormat="false" ht="15" hidden="false" customHeight="false" outlineLevel="0" collapsed="false">
      <c r="A17" s="10"/>
      <c r="B17" s="10"/>
      <c r="C17" s="23"/>
      <c r="D17" s="23"/>
      <c r="E17" s="23"/>
      <c r="F17" s="30" t="str">
        <f aca="false">IF(OR(C17="",D17="",C17=0),"",MIN(D17/C17,1))</f>
        <v/>
      </c>
      <c r="G17" s="18" t="str">
        <f aca="false">IF(F17="","",IF(E17="No","Replace",IF(F17&gt;=1,"Adequate",IF(F17&gt;=0.8,"Low stock","Shortage"))))</f>
        <v/>
      </c>
      <c r="H17" s="10"/>
    </row>
    <row r="18" customFormat="false" ht="15" hidden="false" customHeight="false" outlineLevel="0" collapsed="false">
      <c r="A18" s="10"/>
      <c r="B18" s="10"/>
      <c r="C18" s="23"/>
      <c r="D18" s="23"/>
      <c r="E18" s="23"/>
      <c r="F18" s="30" t="str">
        <f aca="false">IF(OR(C18="",D18="",C18=0),"",MIN(D18/C18,1))</f>
        <v/>
      </c>
      <c r="G18" s="18" t="str">
        <f aca="false">IF(F18="","",IF(E18="No","Replace",IF(F18&gt;=1,"Adequate",IF(F18&gt;=0.8,"Low stock","Shortage"))))</f>
        <v/>
      </c>
      <c r="H18" s="10"/>
    </row>
    <row r="19" customFormat="false" ht="15" hidden="false" customHeight="false" outlineLevel="0" collapsed="false">
      <c r="A19" s="10"/>
      <c r="B19" s="10"/>
      <c r="C19" s="23"/>
      <c r="D19" s="23"/>
      <c r="E19" s="23"/>
      <c r="F19" s="30" t="str">
        <f aca="false">IF(OR(C19="",D19="",C19=0),"",MIN(D19/C19,1))</f>
        <v/>
      </c>
      <c r="G19" s="18" t="str">
        <f aca="false">IF(F19="","",IF(E19="No","Replace",IF(F19&gt;=1,"Adequate",IF(F19&gt;=0.8,"Low stock","Shortage"))))</f>
        <v/>
      </c>
      <c r="H19" s="10"/>
    </row>
    <row r="20" customFormat="false" ht="15" hidden="false" customHeight="false" outlineLevel="0" collapsed="false">
      <c r="A20" s="10"/>
      <c r="B20" s="10"/>
      <c r="C20" s="23"/>
      <c r="D20" s="23"/>
      <c r="E20" s="23"/>
      <c r="F20" s="30" t="str">
        <f aca="false">IF(OR(C20="",D20="",C20=0),"",MIN(D20/C20,1))</f>
        <v/>
      </c>
      <c r="G20" s="18" t="str">
        <f aca="false">IF(F20="","",IF(E20="No","Replace",IF(F20&gt;=1,"Adequate",IF(F20&gt;=0.8,"Low stock","Shortage"))))</f>
        <v/>
      </c>
      <c r="H20" s="10"/>
    </row>
    <row r="21" customFormat="false" ht="15" hidden="false" customHeight="false" outlineLevel="0" collapsed="false">
      <c r="A21" s="10"/>
      <c r="B21" s="10"/>
      <c r="C21" s="23"/>
      <c r="D21" s="23"/>
      <c r="E21" s="23"/>
      <c r="F21" s="30" t="str">
        <f aca="false">IF(OR(C21="",D21="",C21=0),"",MIN(D21/C21,1))</f>
        <v/>
      </c>
      <c r="G21" s="18" t="str">
        <f aca="false">IF(F21="","",IF(E21="No","Replace",IF(F21&gt;=1,"Adequate",IF(F21&gt;=0.8,"Low stock","Shortage"))))</f>
        <v/>
      </c>
      <c r="H21" s="10"/>
    </row>
    <row r="22" customFormat="false" ht="15" hidden="false" customHeight="false" outlineLevel="0" collapsed="false">
      <c r="A22" s="10"/>
      <c r="B22" s="10"/>
      <c r="C22" s="23"/>
      <c r="D22" s="23"/>
      <c r="E22" s="23"/>
      <c r="F22" s="30" t="str">
        <f aca="false">IF(OR(C22="",D22="",C22=0),"",MIN(D22/C22,1))</f>
        <v/>
      </c>
      <c r="G22" s="18" t="str">
        <f aca="false">IF(F22="","",IF(E22="No","Replace",IF(F22&gt;=1,"Adequate",IF(F22&gt;=0.8,"Low stock","Shortage"))))</f>
        <v/>
      </c>
      <c r="H22" s="10"/>
    </row>
    <row r="23" customFormat="false" ht="15" hidden="false" customHeight="false" outlineLevel="0" collapsed="false">
      <c r="A23" s="10"/>
      <c r="B23" s="10"/>
      <c r="C23" s="23"/>
      <c r="D23" s="23"/>
      <c r="E23" s="23"/>
      <c r="F23" s="30" t="str">
        <f aca="false">IF(OR(C23="",D23="",C23=0),"",MIN(D23/C23,1))</f>
        <v/>
      </c>
      <c r="G23" s="18" t="str">
        <f aca="false">IF(F23="","",IF(E23="No","Replace",IF(F23&gt;=1,"Adequate",IF(F23&gt;=0.8,"Low stock","Shortage"))))</f>
        <v/>
      </c>
      <c r="H23" s="10"/>
    </row>
    <row r="24" customFormat="false" ht="15" hidden="false" customHeight="false" outlineLevel="0" collapsed="false">
      <c r="A24" s="10"/>
      <c r="B24" s="10"/>
      <c r="C24" s="23"/>
      <c r="D24" s="23"/>
      <c r="E24" s="23"/>
      <c r="F24" s="30" t="str">
        <f aca="false">IF(OR(C24="",D24="",C24=0),"",MIN(D24/C24,1))</f>
        <v/>
      </c>
      <c r="G24" s="18" t="str">
        <f aca="false">IF(F24="","",IF(E24="No","Replace",IF(F24&gt;=1,"Adequate",IF(F24&gt;=0.8,"Low stock","Shortage"))))</f>
        <v/>
      </c>
      <c r="H24" s="10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2"/>
      <c r="B26" s="2"/>
      <c r="C26" s="2"/>
      <c r="D26" s="2"/>
      <c r="E26" s="31" t="s">
        <v>67</v>
      </c>
      <c r="F26" s="16" t="n">
        <f aca="false">IFERROR(SUMPRODUCT((C5:C24&lt;&gt;"")*((D5:D24&gt;C5:C24)*C5:C24+(D5:D24&lt;=C5:C24)*D5:D24))/SUM(C5:C24),"")</f>
        <v>0.980952380952381</v>
      </c>
      <c r="G26" s="2"/>
      <c r="H26" s="2"/>
    </row>
    <row r="27" customFormat="false" ht="15" hidden="false" customHeight="false" outlineLevel="0" collapsed="false">
      <c r="A27" s="2"/>
      <c r="B27" s="2"/>
      <c r="C27" s="2"/>
      <c r="D27" s="2"/>
      <c r="E27" s="21" t="s">
        <v>274</v>
      </c>
      <c r="F27" s="2"/>
      <c r="G27" s="2"/>
      <c r="H27" s="2"/>
    </row>
  </sheetData>
  <conditionalFormatting sqref="G5:G24">
    <cfRule type="cellIs" priority="2" operator="equal" aboveAverage="0" equalAverage="0" bottom="0" percent="0" rank="0" text="" dxfId="0">
      <formula>"Adequate"</formula>
    </cfRule>
    <cfRule type="cellIs" priority="3" operator="equal" aboveAverage="0" equalAverage="0" bottom="0" percent="0" rank="0" text="" dxfId="1">
      <formula>"Low stock"</formula>
    </cfRule>
    <cfRule type="cellIs" priority="4" operator="equal" aboveAverage="0" equalAverage="0" bottom="0" percent="0" rank="0" text="" dxfId="2">
      <formula>"Shortage"</formula>
    </cfRule>
    <cfRule type="cellIs" priority="5" operator="equal" aboveAverage="0" equalAverage="0" bottom="0" percent="0" rank="0" text="" dxfId="2">
      <formula>"Replace"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E5:E2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26"/>
  </cols>
  <sheetData>
    <row r="1" customFormat="false" ht="19.7" hidden="false" customHeight="false" outlineLevel="0" collapsed="false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276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12" t="s">
        <v>277</v>
      </c>
      <c r="B4" s="12" t="s">
        <v>278</v>
      </c>
      <c r="C4" s="12" t="s">
        <v>279</v>
      </c>
      <c r="D4" s="12" t="s">
        <v>280</v>
      </c>
      <c r="E4" s="12" t="s">
        <v>281</v>
      </c>
      <c r="F4" s="12" t="s">
        <v>282</v>
      </c>
      <c r="G4" s="12" t="s">
        <v>283</v>
      </c>
      <c r="H4" s="12" t="s">
        <v>48</v>
      </c>
      <c r="I4" s="12" t="s">
        <v>284</v>
      </c>
      <c r="J4" s="12" t="s">
        <v>221</v>
      </c>
    </row>
    <row r="5" customFormat="false" ht="15" hidden="false" customHeight="false" outlineLevel="0" collapsed="false">
      <c r="A5" s="10" t="s">
        <v>285</v>
      </c>
      <c r="B5" s="10" t="s">
        <v>286</v>
      </c>
      <c r="C5" s="10" t="s">
        <v>287</v>
      </c>
      <c r="D5" s="10" t="s">
        <v>288</v>
      </c>
      <c r="E5" s="11" t="n">
        <v>46213</v>
      </c>
      <c r="F5" s="28" t="n">
        <v>12</v>
      </c>
      <c r="G5" s="29" t="n">
        <f aca="false">IF(OR(E5="",F5=""),"",EDATE(E5,F5))</f>
        <v>46578</v>
      </c>
      <c r="H5" s="18" t="str">
        <f aca="false">IF(A5="","",IF(G5="","Not trained",IF(G5&lt;Dashboard!$C$5,"Expired",IF(G5-Dashboard!$C$5&lt;=Lists!$N$7,"Expiring","Current"))))</f>
        <v>Current</v>
      </c>
      <c r="I5" s="10" t="s">
        <v>179</v>
      </c>
      <c r="J5" s="10" t="s">
        <v>289</v>
      </c>
    </row>
    <row r="6" customFormat="false" ht="15" hidden="false" customHeight="false" outlineLevel="0" collapsed="false">
      <c r="A6" s="10"/>
      <c r="B6" s="10"/>
      <c r="C6" s="10"/>
      <c r="D6" s="10"/>
      <c r="E6" s="11"/>
      <c r="F6" s="28"/>
      <c r="G6" s="29" t="str">
        <f aca="false">IF(OR(E6="",F6=""),"",EDATE(E6,F6))</f>
        <v/>
      </c>
      <c r="H6" s="18" t="str">
        <f aca="false">IF(A6="","",IF(G6="","Not trained",IF(G6&lt;Dashboard!$C$5,"Expired",IF(G6-Dashboard!$C$5&lt;=Lists!$N$7,"Expiring","Current"))))</f>
        <v/>
      </c>
      <c r="I6" s="10"/>
      <c r="J6" s="10"/>
    </row>
    <row r="7" customFormat="false" ht="15" hidden="false" customHeight="false" outlineLevel="0" collapsed="false">
      <c r="A7" s="10"/>
      <c r="B7" s="10"/>
      <c r="C7" s="10"/>
      <c r="D7" s="10"/>
      <c r="E7" s="11"/>
      <c r="F7" s="28"/>
      <c r="G7" s="29" t="str">
        <f aca="false">IF(OR(E7="",F7=""),"",EDATE(E7,F7))</f>
        <v/>
      </c>
      <c r="H7" s="18" t="str">
        <f aca="false">IF(A7="","",IF(G7="","Not trained",IF(G7&lt;Dashboard!$C$5,"Expired",IF(G7-Dashboard!$C$5&lt;=Lists!$N$7,"Expiring","Current"))))</f>
        <v/>
      </c>
      <c r="I7" s="10"/>
      <c r="J7" s="10"/>
    </row>
    <row r="8" customFormat="false" ht="15" hidden="false" customHeight="false" outlineLevel="0" collapsed="false">
      <c r="A8" s="10"/>
      <c r="B8" s="10"/>
      <c r="C8" s="10"/>
      <c r="D8" s="10"/>
      <c r="E8" s="11"/>
      <c r="F8" s="28"/>
      <c r="G8" s="29" t="str">
        <f aca="false">IF(OR(E8="",F8=""),"",EDATE(E8,F8))</f>
        <v/>
      </c>
      <c r="H8" s="18" t="str">
        <f aca="false">IF(A8="","",IF(G8="","Not trained",IF(G8&lt;Dashboard!$C$5,"Expired",IF(G8-Dashboard!$C$5&lt;=Lists!$N$7,"Expiring","Current"))))</f>
        <v/>
      </c>
      <c r="I8" s="10"/>
      <c r="J8" s="10"/>
    </row>
    <row r="9" customFormat="false" ht="15" hidden="false" customHeight="false" outlineLevel="0" collapsed="false">
      <c r="A9" s="10"/>
      <c r="B9" s="10"/>
      <c r="C9" s="10"/>
      <c r="D9" s="10"/>
      <c r="E9" s="11"/>
      <c r="F9" s="28"/>
      <c r="G9" s="29" t="str">
        <f aca="false">IF(OR(E9="",F9=""),"",EDATE(E9,F9))</f>
        <v/>
      </c>
      <c r="H9" s="18" t="str">
        <f aca="false">IF(A9="","",IF(G9="","Not trained",IF(G9&lt;Dashboard!$C$5,"Expired",IF(G9-Dashboard!$C$5&lt;=Lists!$N$7,"Expiring","Current"))))</f>
        <v/>
      </c>
      <c r="I9" s="10"/>
      <c r="J9" s="10"/>
    </row>
    <row r="10" customFormat="false" ht="15" hidden="false" customHeight="false" outlineLevel="0" collapsed="false">
      <c r="A10" s="10"/>
      <c r="B10" s="10"/>
      <c r="C10" s="10"/>
      <c r="D10" s="10"/>
      <c r="E10" s="11"/>
      <c r="F10" s="28"/>
      <c r="G10" s="29" t="str">
        <f aca="false">IF(OR(E10="",F10=""),"",EDATE(E10,F10))</f>
        <v/>
      </c>
      <c r="H10" s="18" t="str">
        <f aca="false">IF(A10="","",IF(G10="","Not trained",IF(G10&lt;Dashboard!$C$5,"Expired",IF(G10-Dashboard!$C$5&lt;=Lists!$N$7,"Expiring","Current"))))</f>
        <v/>
      </c>
      <c r="I10" s="10"/>
      <c r="J10" s="10"/>
    </row>
    <row r="11" customFormat="false" ht="15" hidden="false" customHeight="false" outlineLevel="0" collapsed="false">
      <c r="A11" s="10"/>
      <c r="B11" s="10"/>
      <c r="C11" s="10"/>
      <c r="D11" s="10"/>
      <c r="E11" s="11"/>
      <c r="F11" s="28"/>
      <c r="G11" s="29" t="str">
        <f aca="false">IF(OR(E11="",F11=""),"",EDATE(E11,F11))</f>
        <v/>
      </c>
      <c r="H11" s="18" t="str">
        <f aca="false">IF(A11="","",IF(G11="","Not trained",IF(G11&lt;Dashboard!$C$5,"Expired",IF(G11-Dashboard!$C$5&lt;=Lists!$N$7,"Expiring","Current"))))</f>
        <v/>
      </c>
      <c r="I11" s="10"/>
      <c r="J11" s="10"/>
    </row>
    <row r="12" customFormat="false" ht="15" hidden="false" customHeight="false" outlineLevel="0" collapsed="false">
      <c r="A12" s="10"/>
      <c r="B12" s="10"/>
      <c r="C12" s="10"/>
      <c r="D12" s="10"/>
      <c r="E12" s="11"/>
      <c r="F12" s="28"/>
      <c r="G12" s="29" t="str">
        <f aca="false">IF(OR(E12="",F12=""),"",EDATE(E12,F12))</f>
        <v/>
      </c>
      <c r="H12" s="18" t="str">
        <f aca="false">IF(A12="","",IF(G12="","Not trained",IF(G12&lt;Dashboard!$C$5,"Expired",IF(G12-Dashboard!$C$5&lt;=Lists!$N$7,"Expiring","Current"))))</f>
        <v/>
      </c>
      <c r="I12" s="10"/>
      <c r="J12" s="10"/>
    </row>
    <row r="13" customFormat="false" ht="15" hidden="false" customHeight="false" outlineLevel="0" collapsed="false">
      <c r="A13" s="10"/>
      <c r="B13" s="10"/>
      <c r="C13" s="10"/>
      <c r="D13" s="10"/>
      <c r="E13" s="11"/>
      <c r="F13" s="28"/>
      <c r="G13" s="29" t="str">
        <f aca="false">IF(OR(E13="",F13=""),"",EDATE(E13,F13))</f>
        <v/>
      </c>
      <c r="H13" s="18" t="str">
        <f aca="false">IF(A13="","",IF(G13="","Not trained",IF(G13&lt;Dashboard!$C$5,"Expired",IF(G13-Dashboard!$C$5&lt;=Lists!$N$7,"Expiring","Current"))))</f>
        <v/>
      </c>
      <c r="I13" s="10"/>
      <c r="J13" s="10"/>
    </row>
    <row r="14" customFormat="false" ht="15" hidden="false" customHeight="false" outlineLevel="0" collapsed="false">
      <c r="A14" s="10"/>
      <c r="B14" s="10"/>
      <c r="C14" s="10"/>
      <c r="D14" s="10"/>
      <c r="E14" s="11"/>
      <c r="F14" s="28"/>
      <c r="G14" s="29" t="str">
        <f aca="false">IF(OR(E14="",F14=""),"",EDATE(E14,F14))</f>
        <v/>
      </c>
      <c r="H14" s="18" t="str">
        <f aca="false">IF(A14="","",IF(G14="","Not trained",IF(G14&lt;Dashboard!$C$5,"Expired",IF(G14-Dashboard!$C$5&lt;=Lists!$N$7,"Expiring","Current"))))</f>
        <v/>
      </c>
      <c r="I14" s="10"/>
      <c r="J14" s="10"/>
    </row>
    <row r="15" customFormat="false" ht="15" hidden="false" customHeight="false" outlineLevel="0" collapsed="false">
      <c r="A15" s="10"/>
      <c r="B15" s="10"/>
      <c r="C15" s="10"/>
      <c r="D15" s="10"/>
      <c r="E15" s="11"/>
      <c r="F15" s="28"/>
      <c r="G15" s="29" t="str">
        <f aca="false">IF(OR(E15="",F15=""),"",EDATE(E15,F15))</f>
        <v/>
      </c>
      <c r="H15" s="18" t="str">
        <f aca="false">IF(A15="","",IF(G15="","Not trained",IF(G15&lt;Dashboard!$C$5,"Expired",IF(G15-Dashboard!$C$5&lt;=Lists!$N$7,"Expiring","Current"))))</f>
        <v/>
      </c>
      <c r="I15" s="10"/>
      <c r="J15" s="10"/>
    </row>
    <row r="16" customFormat="false" ht="15" hidden="false" customHeight="false" outlineLevel="0" collapsed="false">
      <c r="A16" s="10"/>
      <c r="B16" s="10"/>
      <c r="C16" s="10"/>
      <c r="D16" s="10"/>
      <c r="E16" s="11"/>
      <c r="F16" s="28"/>
      <c r="G16" s="29" t="str">
        <f aca="false">IF(OR(E16="",F16=""),"",EDATE(E16,F16))</f>
        <v/>
      </c>
      <c r="H16" s="18" t="str">
        <f aca="false">IF(A16="","",IF(G16="","Not trained",IF(G16&lt;Dashboard!$C$5,"Expired",IF(G16-Dashboard!$C$5&lt;=Lists!$N$7,"Expiring","Current"))))</f>
        <v/>
      </c>
      <c r="I16" s="10"/>
      <c r="J16" s="10"/>
    </row>
    <row r="17" customFormat="false" ht="15" hidden="false" customHeight="false" outlineLevel="0" collapsed="false">
      <c r="A17" s="10"/>
      <c r="B17" s="10"/>
      <c r="C17" s="10"/>
      <c r="D17" s="10"/>
      <c r="E17" s="11"/>
      <c r="F17" s="28"/>
      <c r="G17" s="29" t="str">
        <f aca="false">IF(OR(E17="",F17=""),"",EDATE(E17,F17))</f>
        <v/>
      </c>
      <c r="H17" s="18" t="str">
        <f aca="false">IF(A17="","",IF(G17="","Not trained",IF(G17&lt;Dashboard!$C$5,"Expired",IF(G17-Dashboard!$C$5&lt;=Lists!$N$7,"Expiring","Current"))))</f>
        <v/>
      </c>
      <c r="I17" s="10"/>
      <c r="J17" s="10"/>
    </row>
    <row r="18" customFormat="false" ht="15" hidden="false" customHeight="false" outlineLevel="0" collapsed="false">
      <c r="A18" s="10"/>
      <c r="B18" s="10"/>
      <c r="C18" s="10"/>
      <c r="D18" s="10"/>
      <c r="E18" s="11"/>
      <c r="F18" s="28"/>
      <c r="G18" s="29" t="str">
        <f aca="false">IF(OR(E18="",F18=""),"",EDATE(E18,F18))</f>
        <v/>
      </c>
      <c r="H18" s="18" t="str">
        <f aca="false">IF(A18="","",IF(G18="","Not trained",IF(G18&lt;Dashboard!$C$5,"Expired",IF(G18-Dashboard!$C$5&lt;=Lists!$N$7,"Expiring","Current"))))</f>
        <v/>
      </c>
      <c r="I18" s="10"/>
      <c r="J18" s="10"/>
    </row>
    <row r="19" customFormat="false" ht="15" hidden="false" customHeight="false" outlineLevel="0" collapsed="false">
      <c r="A19" s="10"/>
      <c r="B19" s="10"/>
      <c r="C19" s="10"/>
      <c r="D19" s="10"/>
      <c r="E19" s="11"/>
      <c r="F19" s="28"/>
      <c r="G19" s="29" t="str">
        <f aca="false">IF(OR(E19="",F19=""),"",EDATE(E19,F19))</f>
        <v/>
      </c>
      <c r="H19" s="18" t="str">
        <f aca="false">IF(A19="","",IF(G19="","Not trained",IF(G19&lt;Dashboard!$C$5,"Expired",IF(G19-Dashboard!$C$5&lt;=Lists!$N$7,"Expiring","Current"))))</f>
        <v/>
      </c>
      <c r="I19" s="10"/>
      <c r="J19" s="10"/>
    </row>
    <row r="20" customFormat="false" ht="15" hidden="false" customHeight="false" outlineLevel="0" collapsed="false">
      <c r="A20" s="10"/>
      <c r="B20" s="10"/>
      <c r="C20" s="10"/>
      <c r="D20" s="10"/>
      <c r="E20" s="11"/>
      <c r="F20" s="28"/>
      <c r="G20" s="29" t="str">
        <f aca="false">IF(OR(E20="",F20=""),"",EDATE(E20,F20))</f>
        <v/>
      </c>
      <c r="H20" s="18" t="str">
        <f aca="false">IF(A20="","",IF(G20="","Not trained",IF(G20&lt;Dashboard!$C$5,"Expired",IF(G20-Dashboard!$C$5&lt;=Lists!$N$7,"Expiring","Current"))))</f>
        <v/>
      </c>
      <c r="I20" s="10"/>
      <c r="J20" s="10"/>
    </row>
    <row r="21" customFormat="false" ht="15" hidden="false" customHeight="false" outlineLevel="0" collapsed="false">
      <c r="A21" s="10"/>
      <c r="B21" s="10"/>
      <c r="C21" s="10"/>
      <c r="D21" s="10"/>
      <c r="E21" s="11"/>
      <c r="F21" s="28"/>
      <c r="G21" s="29" t="str">
        <f aca="false">IF(OR(E21="",F21=""),"",EDATE(E21,F21))</f>
        <v/>
      </c>
      <c r="H21" s="18" t="str">
        <f aca="false">IF(A21="","",IF(G21="","Not trained",IF(G21&lt;Dashboard!$C$5,"Expired",IF(G21-Dashboard!$C$5&lt;=Lists!$N$7,"Expiring","Current"))))</f>
        <v/>
      </c>
      <c r="I21" s="10"/>
      <c r="J21" s="10"/>
    </row>
    <row r="22" customFormat="false" ht="15" hidden="false" customHeight="false" outlineLevel="0" collapsed="false">
      <c r="A22" s="10"/>
      <c r="B22" s="10"/>
      <c r="C22" s="10"/>
      <c r="D22" s="10"/>
      <c r="E22" s="11"/>
      <c r="F22" s="28"/>
      <c r="G22" s="29" t="str">
        <f aca="false">IF(OR(E22="",F22=""),"",EDATE(E22,F22))</f>
        <v/>
      </c>
      <c r="H22" s="18" t="str">
        <f aca="false">IF(A22="","",IF(G22="","Not trained",IF(G22&lt;Dashboard!$C$5,"Expired",IF(G22-Dashboard!$C$5&lt;=Lists!$N$7,"Expiring","Current"))))</f>
        <v/>
      </c>
      <c r="I22" s="10"/>
      <c r="J22" s="10"/>
    </row>
    <row r="23" customFormat="false" ht="15" hidden="false" customHeight="false" outlineLevel="0" collapsed="false">
      <c r="A23" s="10"/>
      <c r="B23" s="10"/>
      <c r="C23" s="10"/>
      <c r="D23" s="10"/>
      <c r="E23" s="11"/>
      <c r="F23" s="28"/>
      <c r="G23" s="29" t="str">
        <f aca="false">IF(OR(E23="",F23=""),"",EDATE(E23,F23))</f>
        <v/>
      </c>
      <c r="H23" s="18" t="str">
        <f aca="false">IF(A23="","",IF(G23="","Not trained",IF(G23&lt;Dashboard!$C$5,"Expired",IF(G23-Dashboard!$C$5&lt;=Lists!$N$7,"Expiring","Current"))))</f>
        <v/>
      </c>
      <c r="I23" s="10"/>
      <c r="J23" s="10"/>
    </row>
    <row r="24" customFormat="false" ht="15" hidden="false" customHeight="false" outlineLevel="0" collapsed="false">
      <c r="A24" s="10"/>
      <c r="B24" s="10"/>
      <c r="C24" s="10"/>
      <c r="D24" s="10"/>
      <c r="E24" s="11"/>
      <c r="F24" s="28"/>
      <c r="G24" s="29" t="str">
        <f aca="false">IF(OR(E24="",F24=""),"",EDATE(E24,F24))</f>
        <v/>
      </c>
      <c r="H24" s="18" t="str">
        <f aca="false">IF(A24="","",IF(G24="","Not trained",IF(G24&lt;Dashboard!$C$5,"Expired",IF(G24-Dashboard!$C$5&lt;=Lists!$N$7,"Expiring","Current"))))</f>
        <v/>
      </c>
      <c r="I24" s="10"/>
      <c r="J24" s="10"/>
    </row>
    <row r="25" customFormat="false" ht="15" hidden="false" customHeight="false" outlineLevel="0" collapsed="false">
      <c r="A25" s="10"/>
      <c r="B25" s="10"/>
      <c r="C25" s="10"/>
      <c r="D25" s="10"/>
      <c r="E25" s="11"/>
      <c r="F25" s="28"/>
      <c r="G25" s="29" t="str">
        <f aca="false">IF(OR(E25="",F25=""),"",EDATE(E25,F25))</f>
        <v/>
      </c>
      <c r="H25" s="18" t="str">
        <f aca="false">IF(A25="","",IF(G25="","Not trained",IF(G25&lt;Dashboard!$C$5,"Expired",IF(G25-Dashboard!$C$5&lt;=Lists!$N$7,"Expiring","Current"))))</f>
        <v/>
      </c>
      <c r="I25" s="10"/>
      <c r="J25" s="10"/>
    </row>
    <row r="26" customFormat="false" ht="15" hidden="false" customHeight="false" outlineLevel="0" collapsed="false">
      <c r="A26" s="10"/>
      <c r="B26" s="10"/>
      <c r="C26" s="10"/>
      <c r="D26" s="10"/>
      <c r="E26" s="11"/>
      <c r="F26" s="28"/>
      <c r="G26" s="29" t="str">
        <f aca="false">IF(OR(E26="",F26=""),"",EDATE(E26,F26))</f>
        <v/>
      </c>
      <c r="H26" s="18" t="str">
        <f aca="false">IF(A26="","",IF(G26="","Not trained",IF(G26&lt;Dashboard!$C$5,"Expired",IF(G26-Dashboard!$C$5&lt;=Lists!$N$7,"Expiring","Current"))))</f>
        <v/>
      </c>
      <c r="I26" s="10"/>
      <c r="J26" s="10"/>
    </row>
    <row r="27" customFormat="false" ht="15" hidden="false" customHeight="false" outlineLevel="0" collapsed="false">
      <c r="A27" s="10"/>
      <c r="B27" s="10"/>
      <c r="C27" s="10"/>
      <c r="D27" s="10"/>
      <c r="E27" s="11"/>
      <c r="F27" s="28"/>
      <c r="G27" s="29" t="str">
        <f aca="false">IF(OR(E27="",F27=""),"",EDATE(E27,F27))</f>
        <v/>
      </c>
      <c r="H27" s="18" t="str">
        <f aca="false">IF(A27="","",IF(G27="","Not trained",IF(G27&lt;Dashboard!$C$5,"Expired",IF(G27-Dashboard!$C$5&lt;=Lists!$N$7,"Expiring","Current"))))</f>
        <v/>
      </c>
      <c r="I27" s="10"/>
      <c r="J27" s="10"/>
    </row>
    <row r="28" customFormat="false" ht="15" hidden="false" customHeight="false" outlineLevel="0" collapsed="false">
      <c r="A28" s="10"/>
      <c r="B28" s="10"/>
      <c r="C28" s="10"/>
      <c r="D28" s="10"/>
      <c r="E28" s="11"/>
      <c r="F28" s="28"/>
      <c r="G28" s="29" t="str">
        <f aca="false">IF(OR(E28="",F28=""),"",EDATE(E28,F28))</f>
        <v/>
      </c>
      <c r="H28" s="18" t="str">
        <f aca="false">IF(A28="","",IF(G28="","Not trained",IF(G28&lt;Dashboard!$C$5,"Expired",IF(G28-Dashboard!$C$5&lt;=Lists!$N$7,"Expiring","Current"))))</f>
        <v/>
      </c>
      <c r="I28" s="10"/>
      <c r="J28" s="10"/>
    </row>
    <row r="29" customFormat="false" ht="15" hidden="false" customHeight="false" outlineLevel="0" collapsed="false">
      <c r="A29" s="10"/>
      <c r="B29" s="10"/>
      <c r="C29" s="10"/>
      <c r="D29" s="10"/>
      <c r="E29" s="11"/>
      <c r="F29" s="28"/>
      <c r="G29" s="29" t="str">
        <f aca="false">IF(OR(E29="",F29=""),"",EDATE(E29,F29))</f>
        <v/>
      </c>
      <c r="H29" s="18" t="str">
        <f aca="false">IF(A29="","",IF(G29="","Not trained",IF(G29&lt;Dashboard!$C$5,"Expired",IF(G29-Dashboard!$C$5&lt;=Lists!$N$7,"Expiring","Current"))))</f>
        <v/>
      </c>
      <c r="I29" s="10"/>
      <c r="J29" s="10"/>
    </row>
    <row r="30" customFormat="false" ht="15" hidden="false" customHeight="false" outlineLevel="0" collapsed="false">
      <c r="A30" s="10"/>
      <c r="B30" s="10"/>
      <c r="C30" s="10"/>
      <c r="D30" s="10"/>
      <c r="E30" s="11"/>
      <c r="F30" s="28"/>
      <c r="G30" s="29" t="str">
        <f aca="false">IF(OR(E30="",F30=""),"",EDATE(E30,F30))</f>
        <v/>
      </c>
      <c r="H30" s="18" t="str">
        <f aca="false">IF(A30="","",IF(G30="","Not trained",IF(G30&lt;Dashboard!$C$5,"Expired",IF(G30-Dashboard!$C$5&lt;=Lists!$N$7,"Expiring","Current"))))</f>
        <v/>
      </c>
      <c r="I30" s="10"/>
      <c r="J30" s="10"/>
    </row>
    <row r="31" customFormat="false" ht="15" hidden="false" customHeight="false" outlineLevel="0" collapsed="false">
      <c r="A31" s="10"/>
      <c r="B31" s="10"/>
      <c r="C31" s="10"/>
      <c r="D31" s="10"/>
      <c r="E31" s="11"/>
      <c r="F31" s="28"/>
      <c r="G31" s="29" t="str">
        <f aca="false">IF(OR(E31="",F31=""),"",EDATE(E31,F31))</f>
        <v/>
      </c>
      <c r="H31" s="18" t="str">
        <f aca="false">IF(A31="","",IF(G31="","Not trained",IF(G31&lt;Dashboard!$C$5,"Expired",IF(G31-Dashboard!$C$5&lt;=Lists!$N$7,"Expiring","Current"))))</f>
        <v/>
      </c>
      <c r="I31" s="10"/>
      <c r="J31" s="10"/>
    </row>
    <row r="32" customFormat="false" ht="15" hidden="false" customHeight="false" outlineLevel="0" collapsed="false">
      <c r="A32" s="10"/>
      <c r="B32" s="10"/>
      <c r="C32" s="10"/>
      <c r="D32" s="10"/>
      <c r="E32" s="11"/>
      <c r="F32" s="28"/>
      <c r="G32" s="29" t="str">
        <f aca="false">IF(OR(E32="",F32=""),"",EDATE(E32,F32))</f>
        <v/>
      </c>
      <c r="H32" s="18" t="str">
        <f aca="false">IF(A32="","",IF(G32="","Not trained",IF(G32&lt;Dashboard!$C$5,"Expired",IF(G32-Dashboard!$C$5&lt;=Lists!$N$7,"Expiring","Current"))))</f>
        <v/>
      </c>
      <c r="I32" s="10"/>
      <c r="J32" s="10"/>
    </row>
    <row r="33" customFormat="false" ht="15" hidden="false" customHeight="false" outlineLevel="0" collapsed="false">
      <c r="A33" s="10"/>
      <c r="B33" s="10"/>
      <c r="C33" s="10"/>
      <c r="D33" s="10"/>
      <c r="E33" s="11"/>
      <c r="F33" s="28"/>
      <c r="G33" s="29" t="str">
        <f aca="false">IF(OR(E33="",F33=""),"",EDATE(E33,F33))</f>
        <v/>
      </c>
      <c r="H33" s="18" t="str">
        <f aca="false">IF(A33="","",IF(G33="","Not trained",IF(G33&lt;Dashboard!$C$5,"Expired",IF(G33-Dashboard!$C$5&lt;=Lists!$N$7,"Expiring","Current"))))</f>
        <v/>
      </c>
      <c r="I33" s="10"/>
      <c r="J33" s="10"/>
    </row>
    <row r="34" customFormat="false" ht="15" hidden="false" customHeight="false" outlineLevel="0" collapsed="false">
      <c r="A34" s="10"/>
      <c r="B34" s="10"/>
      <c r="C34" s="10"/>
      <c r="D34" s="10"/>
      <c r="E34" s="11"/>
      <c r="F34" s="28"/>
      <c r="G34" s="29" t="str">
        <f aca="false">IF(OR(E34="",F34=""),"",EDATE(E34,F34))</f>
        <v/>
      </c>
      <c r="H34" s="18" t="str">
        <f aca="false">IF(A34="","",IF(G34="","Not trained",IF(G34&lt;Dashboard!$C$5,"Expired",IF(G34-Dashboard!$C$5&lt;=Lists!$N$7,"Expiring","Current"))))</f>
        <v/>
      </c>
      <c r="I34" s="10"/>
      <c r="J34" s="10"/>
    </row>
    <row r="35" customFormat="false" ht="15" hidden="false" customHeight="false" outlineLevel="0" collapsed="false">
      <c r="A35" s="10"/>
      <c r="B35" s="10"/>
      <c r="C35" s="10"/>
      <c r="D35" s="10"/>
      <c r="E35" s="11"/>
      <c r="F35" s="28"/>
      <c r="G35" s="29" t="str">
        <f aca="false">IF(OR(E35="",F35=""),"",EDATE(E35,F35))</f>
        <v/>
      </c>
      <c r="H35" s="18" t="str">
        <f aca="false">IF(A35="","",IF(G35="","Not trained",IF(G35&lt;Dashboard!$C$5,"Expired",IF(G35-Dashboard!$C$5&lt;=Lists!$N$7,"Expiring","Current"))))</f>
        <v/>
      </c>
      <c r="I35" s="10"/>
      <c r="J35" s="10"/>
    </row>
    <row r="36" customFormat="false" ht="15" hidden="false" customHeight="false" outlineLevel="0" collapsed="false">
      <c r="A36" s="10"/>
      <c r="B36" s="10"/>
      <c r="C36" s="10"/>
      <c r="D36" s="10"/>
      <c r="E36" s="11"/>
      <c r="F36" s="28"/>
      <c r="G36" s="29" t="str">
        <f aca="false">IF(OR(E36="",F36=""),"",EDATE(E36,F36))</f>
        <v/>
      </c>
      <c r="H36" s="18" t="str">
        <f aca="false">IF(A36="","",IF(G36="","Not trained",IF(G36&lt;Dashboard!$C$5,"Expired",IF(G36-Dashboard!$C$5&lt;=Lists!$N$7,"Expiring","Current"))))</f>
        <v/>
      </c>
      <c r="I36" s="10"/>
      <c r="J36" s="10"/>
    </row>
    <row r="37" customFormat="false" ht="15" hidden="false" customHeight="false" outlineLevel="0" collapsed="false">
      <c r="A37" s="10"/>
      <c r="B37" s="10"/>
      <c r="C37" s="10"/>
      <c r="D37" s="10"/>
      <c r="E37" s="11"/>
      <c r="F37" s="28"/>
      <c r="G37" s="29" t="str">
        <f aca="false">IF(OR(E37="",F37=""),"",EDATE(E37,F37))</f>
        <v/>
      </c>
      <c r="H37" s="18" t="str">
        <f aca="false">IF(A37="","",IF(G37="","Not trained",IF(G37&lt;Dashboard!$C$5,"Expired",IF(G37-Dashboard!$C$5&lt;=Lists!$N$7,"Expiring","Current"))))</f>
        <v/>
      </c>
      <c r="I37" s="10"/>
      <c r="J37" s="10"/>
    </row>
    <row r="38" customFormat="false" ht="15" hidden="false" customHeight="false" outlineLevel="0" collapsed="false">
      <c r="A38" s="10"/>
      <c r="B38" s="10"/>
      <c r="C38" s="10"/>
      <c r="D38" s="10"/>
      <c r="E38" s="11"/>
      <c r="F38" s="28"/>
      <c r="G38" s="29" t="str">
        <f aca="false">IF(OR(E38="",F38=""),"",EDATE(E38,F38))</f>
        <v/>
      </c>
      <c r="H38" s="18" t="str">
        <f aca="false">IF(A38="","",IF(G38="","Not trained",IF(G38&lt;Dashboard!$C$5,"Expired",IF(G38-Dashboard!$C$5&lt;=Lists!$N$7,"Expiring","Current"))))</f>
        <v/>
      </c>
      <c r="I38" s="10"/>
      <c r="J38" s="10"/>
    </row>
    <row r="39" customFormat="false" ht="15" hidden="false" customHeight="false" outlineLevel="0" collapsed="false">
      <c r="A39" s="10"/>
      <c r="B39" s="10"/>
      <c r="C39" s="10"/>
      <c r="D39" s="10"/>
      <c r="E39" s="11"/>
      <c r="F39" s="28"/>
      <c r="G39" s="29" t="str">
        <f aca="false">IF(OR(E39="",F39=""),"",EDATE(E39,F39))</f>
        <v/>
      </c>
      <c r="H39" s="18" t="str">
        <f aca="false">IF(A39="","",IF(G39="","Not trained",IF(G39&lt;Dashboard!$C$5,"Expired",IF(G39-Dashboard!$C$5&lt;=Lists!$N$7,"Expiring","Current"))))</f>
        <v/>
      </c>
      <c r="I39" s="10"/>
      <c r="J39" s="10"/>
    </row>
    <row r="40" customFormat="false" ht="15" hidden="false" customHeight="false" outlineLevel="0" collapsed="false">
      <c r="A40" s="10"/>
      <c r="B40" s="10"/>
      <c r="C40" s="10"/>
      <c r="D40" s="10"/>
      <c r="E40" s="11"/>
      <c r="F40" s="28"/>
      <c r="G40" s="29" t="str">
        <f aca="false">IF(OR(E40="",F40=""),"",EDATE(E40,F40))</f>
        <v/>
      </c>
      <c r="H40" s="18" t="str">
        <f aca="false">IF(A40="","",IF(G40="","Not trained",IF(G40&lt;Dashboard!$C$5,"Expired",IF(G40-Dashboard!$C$5&lt;=Lists!$N$7,"Expiring","Current"))))</f>
        <v/>
      </c>
      <c r="I40" s="10"/>
      <c r="J40" s="10"/>
    </row>
    <row r="41" customFormat="false" ht="15" hidden="false" customHeight="false" outlineLevel="0" collapsed="false">
      <c r="A41" s="10"/>
      <c r="B41" s="10"/>
      <c r="C41" s="10"/>
      <c r="D41" s="10"/>
      <c r="E41" s="11"/>
      <c r="F41" s="28"/>
      <c r="G41" s="29" t="str">
        <f aca="false">IF(OR(E41="",F41=""),"",EDATE(E41,F41))</f>
        <v/>
      </c>
      <c r="H41" s="18" t="str">
        <f aca="false">IF(A41="","",IF(G41="","Not trained",IF(G41&lt;Dashboard!$C$5,"Expired",IF(G41-Dashboard!$C$5&lt;=Lists!$N$7,"Expiring","Current"))))</f>
        <v/>
      </c>
      <c r="I41" s="10"/>
      <c r="J41" s="10"/>
    </row>
    <row r="42" customFormat="false" ht="15" hidden="false" customHeight="false" outlineLevel="0" collapsed="false">
      <c r="A42" s="10"/>
      <c r="B42" s="10"/>
      <c r="C42" s="10"/>
      <c r="D42" s="10"/>
      <c r="E42" s="11"/>
      <c r="F42" s="28"/>
      <c r="G42" s="29" t="str">
        <f aca="false">IF(OR(E42="",F42=""),"",EDATE(E42,F42))</f>
        <v/>
      </c>
      <c r="H42" s="18" t="str">
        <f aca="false">IF(A42="","",IF(G42="","Not trained",IF(G42&lt;Dashboard!$C$5,"Expired",IF(G42-Dashboard!$C$5&lt;=Lists!$N$7,"Expiring","Current"))))</f>
        <v/>
      </c>
      <c r="I42" s="10"/>
      <c r="J42" s="10"/>
    </row>
    <row r="43" customFormat="false" ht="15" hidden="false" customHeight="false" outlineLevel="0" collapsed="false">
      <c r="A43" s="10"/>
      <c r="B43" s="10"/>
      <c r="C43" s="10"/>
      <c r="D43" s="10"/>
      <c r="E43" s="11"/>
      <c r="F43" s="28"/>
      <c r="G43" s="29" t="str">
        <f aca="false">IF(OR(E43="",F43=""),"",EDATE(E43,F43))</f>
        <v/>
      </c>
      <c r="H43" s="18" t="str">
        <f aca="false">IF(A43="","",IF(G43="","Not trained",IF(G43&lt;Dashboard!$C$5,"Expired",IF(G43-Dashboard!$C$5&lt;=Lists!$N$7,"Expiring","Current"))))</f>
        <v/>
      </c>
      <c r="I43" s="10"/>
      <c r="J43" s="10"/>
    </row>
    <row r="44" customFormat="false" ht="15" hidden="false" customHeight="false" outlineLevel="0" collapsed="false">
      <c r="A44" s="10"/>
      <c r="B44" s="10"/>
      <c r="C44" s="10"/>
      <c r="D44" s="10"/>
      <c r="E44" s="11"/>
      <c r="F44" s="28"/>
      <c r="G44" s="29" t="str">
        <f aca="false">IF(OR(E44="",F44=""),"",EDATE(E44,F44))</f>
        <v/>
      </c>
      <c r="H44" s="18" t="str">
        <f aca="false">IF(A44="","",IF(G44="","Not trained",IF(G44&lt;Dashboard!$C$5,"Expired",IF(G44-Dashboard!$C$5&lt;=Lists!$N$7,"Expiring","Current"))))</f>
        <v/>
      </c>
      <c r="I44" s="10"/>
      <c r="J44" s="10"/>
    </row>
    <row r="45" customFormat="false" ht="15" hidden="false" customHeight="false" outlineLevel="0" collapsed="false">
      <c r="A45" s="10"/>
      <c r="B45" s="10"/>
      <c r="C45" s="10"/>
      <c r="D45" s="10"/>
      <c r="E45" s="11"/>
      <c r="F45" s="28"/>
      <c r="G45" s="29" t="str">
        <f aca="false">IF(OR(E45="",F45=""),"",EDATE(E45,F45))</f>
        <v/>
      </c>
      <c r="H45" s="18" t="str">
        <f aca="false">IF(A45="","",IF(G45="","Not trained",IF(G45&lt;Dashboard!$C$5,"Expired",IF(G45-Dashboard!$C$5&lt;=Lists!$N$7,"Expiring","Current"))))</f>
        <v/>
      </c>
      <c r="I45" s="10"/>
      <c r="J45" s="10"/>
    </row>
    <row r="46" customFormat="false" ht="15" hidden="false" customHeight="false" outlineLevel="0" collapsed="false">
      <c r="A46" s="10"/>
      <c r="B46" s="10"/>
      <c r="C46" s="10"/>
      <c r="D46" s="10"/>
      <c r="E46" s="11"/>
      <c r="F46" s="28"/>
      <c r="G46" s="29" t="str">
        <f aca="false">IF(OR(E46="",F46=""),"",EDATE(E46,F46))</f>
        <v/>
      </c>
      <c r="H46" s="18" t="str">
        <f aca="false">IF(A46="","",IF(G46="","Not trained",IF(G46&lt;Dashboard!$C$5,"Expired",IF(G46-Dashboard!$C$5&lt;=Lists!$N$7,"Expiring","Current"))))</f>
        <v/>
      </c>
      <c r="I46" s="10"/>
      <c r="J46" s="10"/>
    </row>
    <row r="47" customFormat="false" ht="15" hidden="false" customHeight="false" outlineLevel="0" collapsed="false">
      <c r="A47" s="10"/>
      <c r="B47" s="10"/>
      <c r="C47" s="10"/>
      <c r="D47" s="10"/>
      <c r="E47" s="11"/>
      <c r="F47" s="28"/>
      <c r="G47" s="29" t="str">
        <f aca="false">IF(OR(E47="",F47=""),"",EDATE(E47,F47))</f>
        <v/>
      </c>
      <c r="H47" s="18" t="str">
        <f aca="false">IF(A47="","",IF(G47="","Not trained",IF(G47&lt;Dashboard!$C$5,"Expired",IF(G47-Dashboard!$C$5&lt;=Lists!$N$7,"Expiring","Current"))))</f>
        <v/>
      </c>
      <c r="I47" s="10"/>
      <c r="J47" s="10"/>
    </row>
    <row r="48" customFormat="false" ht="15" hidden="false" customHeight="false" outlineLevel="0" collapsed="false">
      <c r="A48" s="10"/>
      <c r="B48" s="10"/>
      <c r="C48" s="10"/>
      <c r="D48" s="10"/>
      <c r="E48" s="11"/>
      <c r="F48" s="28"/>
      <c r="G48" s="29" t="str">
        <f aca="false">IF(OR(E48="",F48=""),"",EDATE(E48,F48))</f>
        <v/>
      </c>
      <c r="H48" s="18" t="str">
        <f aca="false">IF(A48="","",IF(G48="","Not trained",IF(G48&lt;Dashboard!$C$5,"Expired",IF(G48-Dashboard!$C$5&lt;=Lists!$N$7,"Expiring","Current"))))</f>
        <v/>
      </c>
      <c r="I48" s="10"/>
      <c r="J48" s="10"/>
    </row>
    <row r="49" customFormat="false" ht="15" hidden="false" customHeight="false" outlineLevel="0" collapsed="false">
      <c r="A49" s="10"/>
      <c r="B49" s="10"/>
      <c r="C49" s="10"/>
      <c r="D49" s="10"/>
      <c r="E49" s="11"/>
      <c r="F49" s="28"/>
      <c r="G49" s="29" t="str">
        <f aca="false">IF(OR(E49="",F49=""),"",EDATE(E49,F49))</f>
        <v/>
      </c>
      <c r="H49" s="18" t="str">
        <f aca="false">IF(A49="","",IF(G49="","Not trained",IF(G49&lt;Dashboard!$C$5,"Expired",IF(G49-Dashboard!$C$5&lt;=Lists!$N$7,"Expiring","Current"))))</f>
        <v/>
      </c>
      <c r="I49" s="10"/>
      <c r="J49" s="10"/>
    </row>
    <row r="50" customFormat="false" ht="15" hidden="false" customHeight="false" outlineLevel="0" collapsed="false">
      <c r="A50" s="10"/>
      <c r="B50" s="10"/>
      <c r="C50" s="10"/>
      <c r="D50" s="10"/>
      <c r="E50" s="11"/>
      <c r="F50" s="28"/>
      <c r="G50" s="29" t="str">
        <f aca="false">IF(OR(E50="",F50=""),"",EDATE(E50,F50))</f>
        <v/>
      </c>
      <c r="H50" s="18" t="str">
        <f aca="false">IF(A50="","",IF(G50="","Not trained",IF(G50&lt;Dashboard!$C$5,"Expired",IF(G50-Dashboard!$C$5&lt;=Lists!$N$7,"Expiring","Current"))))</f>
        <v/>
      </c>
      <c r="I50" s="10"/>
      <c r="J50" s="10"/>
    </row>
    <row r="51" customFormat="false" ht="15" hidden="false" customHeight="false" outlineLevel="0" collapsed="false">
      <c r="A51" s="10"/>
      <c r="B51" s="10"/>
      <c r="C51" s="10"/>
      <c r="D51" s="10"/>
      <c r="E51" s="11"/>
      <c r="F51" s="28"/>
      <c r="G51" s="29" t="str">
        <f aca="false">IF(OR(E51="",F51=""),"",EDATE(E51,F51))</f>
        <v/>
      </c>
      <c r="H51" s="18" t="str">
        <f aca="false">IF(A51="","",IF(G51="","Not trained",IF(G51&lt;Dashboard!$C$5,"Expired",IF(G51-Dashboard!$C$5&lt;=Lists!$N$7,"Expiring","Current"))))</f>
        <v/>
      </c>
      <c r="I51" s="10"/>
      <c r="J51" s="10"/>
    </row>
    <row r="52" customFormat="false" ht="15" hidden="false" customHeight="false" outlineLevel="0" collapsed="false">
      <c r="A52" s="10"/>
      <c r="B52" s="10"/>
      <c r="C52" s="10"/>
      <c r="D52" s="10"/>
      <c r="E52" s="11"/>
      <c r="F52" s="28"/>
      <c r="G52" s="29" t="str">
        <f aca="false">IF(OR(E52="",F52=""),"",EDATE(E52,F52))</f>
        <v/>
      </c>
      <c r="H52" s="18" t="str">
        <f aca="false">IF(A52="","",IF(G52="","Not trained",IF(G52&lt;Dashboard!$C$5,"Expired",IF(G52-Dashboard!$C$5&lt;=Lists!$N$7,"Expiring","Current"))))</f>
        <v/>
      </c>
      <c r="I52" s="10"/>
      <c r="J52" s="10"/>
    </row>
    <row r="53" customFormat="false" ht="15" hidden="false" customHeight="false" outlineLevel="0" collapsed="false">
      <c r="A53" s="10"/>
      <c r="B53" s="10"/>
      <c r="C53" s="10"/>
      <c r="D53" s="10"/>
      <c r="E53" s="11"/>
      <c r="F53" s="28"/>
      <c r="G53" s="29" t="str">
        <f aca="false">IF(OR(E53="",F53=""),"",EDATE(E53,F53))</f>
        <v/>
      </c>
      <c r="H53" s="18" t="str">
        <f aca="false">IF(A53="","",IF(G53="","Not trained",IF(G53&lt;Dashboard!$C$5,"Expired",IF(G53-Dashboard!$C$5&lt;=Lists!$N$7,"Expiring","Current"))))</f>
        <v/>
      </c>
      <c r="I53" s="10"/>
      <c r="J53" s="10"/>
    </row>
    <row r="54" customFormat="false" ht="15" hidden="false" customHeight="false" outlineLevel="0" collapsed="false">
      <c r="A54" s="10"/>
      <c r="B54" s="10"/>
      <c r="C54" s="10"/>
      <c r="D54" s="10"/>
      <c r="E54" s="11"/>
      <c r="F54" s="28"/>
      <c r="G54" s="29" t="str">
        <f aca="false">IF(OR(E54="",F54=""),"",EDATE(E54,F54))</f>
        <v/>
      </c>
      <c r="H54" s="18" t="str">
        <f aca="false">IF(A54="","",IF(G54="","Not trained",IF(G54&lt;Dashboard!$C$5,"Expired",IF(G54-Dashboard!$C$5&lt;=Lists!$N$7,"Expiring","Current"))))</f>
        <v/>
      </c>
      <c r="I54" s="10"/>
      <c r="J54" s="10"/>
    </row>
    <row r="55" customFormat="false" ht="15" hidden="false" customHeight="false" outlineLevel="0" collapsed="false">
      <c r="A55" s="10"/>
      <c r="B55" s="10"/>
      <c r="C55" s="10"/>
      <c r="D55" s="10"/>
      <c r="E55" s="11"/>
      <c r="F55" s="28"/>
      <c r="G55" s="29" t="str">
        <f aca="false">IF(OR(E55="",F55=""),"",EDATE(E55,F55))</f>
        <v/>
      </c>
      <c r="H55" s="18" t="str">
        <f aca="false">IF(A55="","",IF(G55="","Not trained",IF(G55&lt;Dashboard!$C$5,"Expired",IF(G55-Dashboard!$C$5&lt;=Lists!$N$7,"Expiring","Current"))))</f>
        <v/>
      </c>
      <c r="I55" s="10"/>
      <c r="J55" s="10"/>
    </row>
    <row r="56" customFormat="false" ht="15" hidden="false" customHeight="false" outlineLevel="0" collapsed="false">
      <c r="A56" s="10"/>
      <c r="B56" s="10"/>
      <c r="C56" s="10"/>
      <c r="D56" s="10"/>
      <c r="E56" s="11"/>
      <c r="F56" s="28"/>
      <c r="G56" s="29" t="str">
        <f aca="false">IF(OR(E56="",F56=""),"",EDATE(E56,F56))</f>
        <v/>
      </c>
      <c r="H56" s="18" t="str">
        <f aca="false">IF(A56="","",IF(G56="","Not trained",IF(G56&lt;Dashboard!$C$5,"Expired",IF(G56-Dashboard!$C$5&lt;=Lists!$N$7,"Expiring","Current"))))</f>
        <v/>
      </c>
      <c r="I56" s="10"/>
      <c r="J56" s="10"/>
    </row>
    <row r="57" customFormat="false" ht="15" hidden="false" customHeight="false" outlineLevel="0" collapsed="false">
      <c r="A57" s="10"/>
      <c r="B57" s="10"/>
      <c r="C57" s="10"/>
      <c r="D57" s="10"/>
      <c r="E57" s="11"/>
      <c r="F57" s="28"/>
      <c r="G57" s="29" t="str">
        <f aca="false">IF(OR(E57="",F57=""),"",EDATE(E57,F57))</f>
        <v/>
      </c>
      <c r="H57" s="18" t="str">
        <f aca="false">IF(A57="","",IF(G57="","Not trained",IF(G57&lt;Dashboard!$C$5,"Expired",IF(G57-Dashboard!$C$5&lt;=Lists!$N$7,"Expiring","Current"))))</f>
        <v/>
      </c>
      <c r="I57" s="10"/>
      <c r="J57" s="10"/>
    </row>
    <row r="58" customFormat="false" ht="15" hidden="false" customHeight="false" outlineLevel="0" collapsed="false">
      <c r="A58" s="10"/>
      <c r="B58" s="10"/>
      <c r="C58" s="10"/>
      <c r="D58" s="10"/>
      <c r="E58" s="11"/>
      <c r="F58" s="28"/>
      <c r="G58" s="29" t="str">
        <f aca="false">IF(OR(E58="",F58=""),"",EDATE(E58,F58))</f>
        <v/>
      </c>
      <c r="H58" s="18" t="str">
        <f aca="false">IF(A58="","",IF(G58="","Not trained",IF(G58&lt;Dashboard!$C$5,"Expired",IF(G58-Dashboard!$C$5&lt;=Lists!$N$7,"Expiring","Current"))))</f>
        <v/>
      </c>
      <c r="I58" s="10"/>
      <c r="J58" s="10"/>
    </row>
    <row r="59" customFormat="false" ht="15" hidden="false" customHeight="false" outlineLevel="0" collapsed="false">
      <c r="A59" s="10"/>
      <c r="B59" s="10"/>
      <c r="C59" s="10"/>
      <c r="D59" s="10"/>
      <c r="E59" s="11"/>
      <c r="F59" s="28"/>
      <c r="G59" s="29" t="str">
        <f aca="false">IF(OR(E59="",F59=""),"",EDATE(E59,F59))</f>
        <v/>
      </c>
      <c r="H59" s="18" t="str">
        <f aca="false">IF(A59="","",IF(G59="","Not trained",IF(G59&lt;Dashboard!$C$5,"Expired",IF(G59-Dashboard!$C$5&lt;=Lists!$N$7,"Expiring","Current"))))</f>
        <v/>
      </c>
      <c r="I59" s="10"/>
      <c r="J59" s="10"/>
    </row>
    <row r="60" customFormat="false" ht="15" hidden="false" customHeight="false" outlineLevel="0" collapsed="false">
      <c r="A60" s="10"/>
      <c r="B60" s="10"/>
      <c r="C60" s="10"/>
      <c r="D60" s="10"/>
      <c r="E60" s="11"/>
      <c r="F60" s="28"/>
      <c r="G60" s="29" t="str">
        <f aca="false">IF(OR(E60="",F60=""),"",EDATE(E60,F60))</f>
        <v/>
      </c>
      <c r="H60" s="18" t="str">
        <f aca="false">IF(A60="","",IF(G60="","Not trained",IF(G60&lt;Dashboard!$C$5,"Expired",IF(G60-Dashboard!$C$5&lt;=Lists!$N$7,"Expiring","Current"))))</f>
        <v/>
      </c>
      <c r="I60" s="10"/>
      <c r="J60" s="10"/>
    </row>
    <row r="61" customFormat="false" ht="15" hidden="false" customHeight="false" outlineLevel="0" collapsed="false">
      <c r="A61" s="10"/>
      <c r="B61" s="10"/>
      <c r="C61" s="10"/>
      <c r="D61" s="10"/>
      <c r="E61" s="11"/>
      <c r="F61" s="28"/>
      <c r="G61" s="29" t="str">
        <f aca="false">IF(OR(E61="",F61=""),"",EDATE(E61,F61))</f>
        <v/>
      </c>
      <c r="H61" s="18" t="str">
        <f aca="false">IF(A61="","",IF(G61="","Not trained",IF(G61&lt;Dashboard!$C$5,"Expired",IF(G61-Dashboard!$C$5&lt;=Lists!$N$7,"Expiring","Current"))))</f>
        <v/>
      </c>
      <c r="I61" s="10"/>
      <c r="J61" s="10"/>
    </row>
    <row r="62" customFormat="false" ht="15" hidden="false" customHeight="false" outlineLevel="0" collapsed="false">
      <c r="A62" s="10"/>
      <c r="B62" s="10"/>
      <c r="C62" s="10"/>
      <c r="D62" s="10"/>
      <c r="E62" s="11"/>
      <c r="F62" s="28"/>
      <c r="G62" s="29" t="str">
        <f aca="false">IF(OR(E62="",F62=""),"",EDATE(E62,F62))</f>
        <v/>
      </c>
      <c r="H62" s="18" t="str">
        <f aca="false">IF(A62="","",IF(G62="","Not trained",IF(G62&lt;Dashboard!$C$5,"Expired",IF(G62-Dashboard!$C$5&lt;=Lists!$N$7,"Expiring","Current"))))</f>
        <v/>
      </c>
      <c r="I62" s="10"/>
      <c r="J62" s="10"/>
    </row>
    <row r="63" customFormat="false" ht="15" hidden="false" customHeight="false" outlineLevel="0" collapsed="false">
      <c r="A63" s="10"/>
      <c r="B63" s="10"/>
      <c r="C63" s="10"/>
      <c r="D63" s="10"/>
      <c r="E63" s="11"/>
      <c r="F63" s="28"/>
      <c r="G63" s="29" t="str">
        <f aca="false">IF(OR(E63="",F63=""),"",EDATE(E63,F63))</f>
        <v/>
      </c>
      <c r="H63" s="18" t="str">
        <f aca="false">IF(A63="","",IF(G63="","Not trained",IF(G63&lt;Dashboard!$C$5,"Expired",IF(G63-Dashboard!$C$5&lt;=Lists!$N$7,"Expiring","Current"))))</f>
        <v/>
      </c>
      <c r="I63" s="10"/>
      <c r="J63" s="10"/>
    </row>
    <row r="64" customFormat="false" ht="15" hidden="false" customHeight="false" outlineLevel="0" collapsed="false">
      <c r="A64" s="10"/>
      <c r="B64" s="10"/>
      <c r="C64" s="10"/>
      <c r="D64" s="10"/>
      <c r="E64" s="11"/>
      <c r="F64" s="28"/>
      <c r="G64" s="29" t="str">
        <f aca="false">IF(OR(E64="",F64=""),"",EDATE(E64,F64))</f>
        <v/>
      </c>
      <c r="H64" s="18" t="str">
        <f aca="false">IF(A64="","",IF(G64="","Not trained",IF(G64&lt;Dashboard!$C$5,"Expired",IF(G64-Dashboard!$C$5&lt;=Lists!$N$7,"Expiring","Current"))))</f>
        <v/>
      </c>
      <c r="I64" s="10"/>
      <c r="J64" s="10"/>
    </row>
    <row r="65" customFormat="false" ht="15" hidden="false" customHeight="false" outlineLevel="0" collapsed="false">
      <c r="A65" s="10"/>
      <c r="B65" s="10"/>
      <c r="C65" s="10"/>
      <c r="D65" s="10"/>
      <c r="E65" s="11"/>
      <c r="F65" s="28"/>
      <c r="G65" s="29" t="str">
        <f aca="false">IF(OR(E65="",F65=""),"",EDATE(E65,F65))</f>
        <v/>
      </c>
      <c r="H65" s="18" t="str">
        <f aca="false">IF(A65="","",IF(G65="","Not trained",IF(G65&lt;Dashboard!$C$5,"Expired",IF(G65-Dashboard!$C$5&lt;=Lists!$N$7,"Expiring","Current"))))</f>
        <v/>
      </c>
      <c r="I65" s="10"/>
      <c r="J65" s="10"/>
    </row>
    <row r="66" customFormat="false" ht="15" hidden="false" customHeight="false" outlineLevel="0" collapsed="false">
      <c r="A66" s="10"/>
      <c r="B66" s="10"/>
      <c r="C66" s="10"/>
      <c r="D66" s="10"/>
      <c r="E66" s="11"/>
      <c r="F66" s="28"/>
      <c r="G66" s="29" t="str">
        <f aca="false">IF(OR(E66="",F66=""),"",EDATE(E66,F66))</f>
        <v/>
      </c>
      <c r="H66" s="18" t="str">
        <f aca="false">IF(A66="","",IF(G66="","Not trained",IF(G66&lt;Dashboard!$C$5,"Expired",IF(G66-Dashboard!$C$5&lt;=Lists!$N$7,"Expiring","Current"))))</f>
        <v/>
      </c>
      <c r="I66" s="10"/>
      <c r="J66" s="10"/>
    </row>
    <row r="67" customFormat="false" ht="15" hidden="false" customHeight="false" outlineLevel="0" collapsed="false">
      <c r="A67" s="10"/>
      <c r="B67" s="10"/>
      <c r="C67" s="10"/>
      <c r="D67" s="10"/>
      <c r="E67" s="11"/>
      <c r="F67" s="28"/>
      <c r="G67" s="29" t="str">
        <f aca="false">IF(OR(E67="",F67=""),"",EDATE(E67,F67))</f>
        <v/>
      </c>
      <c r="H67" s="18" t="str">
        <f aca="false">IF(A67="","",IF(G67="","Not trained",IF(G67&lt;Dashboard!$C$5,"Expired",IF(G67-Dashboard!$C$5&lt;=Lists!$N$7,"Expiring","Current"))))</f>
        <v/>
      </c>
      <c r="I67" s="10"/>
      <c r="J67" s="10"/>
    </row>
    <row r="68" customFormat="false" ht="15" hidden="false" customHeight="false" outlineLevel="0" collapsed="false">
      <c r="A68" s="10"/>
      <c r="B68" s="10"/>
      <c r="C68" s="10"/>
      <c r="D68" s="10"/>
      <c r="E68" s="11"/>
      <c r="F68" s="28"/>
      <c r="G68" s="29" t="str">
        <f aca="false">IF(OR(E68="",F68=""),"",EDATE(E68,F68))</f>
        <v/>
      </c>
      <c r="H68" s="18" t="str">
        <f aca="false">IF(A68="","",IF(G68="","Not trained",IF(G68&lt;Dashboard!$C$5,"Expired",IF(G68-Dashboard!$C$5&lt;=Lists!$N$7,"Expiring","Current"))))</f>
        <v/>
      </c>
      <c r="I68" s="10"/>
      <c r="J68" s="10"/>
    </row>
    <row r="69" customFormat="false" ht="15" hidden="false" customHeight="false" outlineLevel="0" collapsed="false">
      <c r="A69" s="10"/>
      <c r="B69" s="10"/>
      <c r="C69" s="10"/>
      <c r="D69" s="10"/>
      <c r="E69" s="11"/>
      <c r="F69" s="28"/>
      <c r="G69" s="29" t="str">
        <f aca="false">IF(OR(E69="",F69=""),"",EDATE(E69,F69))</f>
        <v/>
      </c>
      <c r="H69" s="18" t="str">
        <f aca="false">IF(A69="","",IF(G69="","Not trained",IF(G69&lt;Dashboard!$C$5,"Expired",IF(G69-Dashboard!$C$5&lt;=Lists!$N$7,"Expiring","Current"))))</f>
        <v/>
      </c>
      <c r="I69" s="10"/>
      <c r="J69" s="10"/>
    </row>
    <row r="70" customFormat="false" ht="15" hidden="false" customHeight="false" outlineLevel="0" collapsed="false">
      <c r="A70" s="10"/>
      <c r="B70" s="10"/>
      <c r="C70" s="10"/>
      <c r="D70" s="10"/>
      <c r="E70" s="11"/>
      <c r="F70" s="28"/>
      <c r="G70" s="29" t="str">
        <f aca="false">IF(OR(E70="",F70=""),"",EDATE(E70,F70))</f>
        <v/>
      </c>
      <c r="H70" s="18" t="str">
        <f aca="false">IF(A70="","",IF(G70="","Not trained",IF(G70&lt;Dashboard!$C$5,"Expired",IF(G70-Dashboard!$C$5&lt;=Lists!$N$7,"Expiring","Current"))))</f>
        <v/>
      </c>
      <c r="I70" s="10"/>
      <c r="J70" s="10"/>
    </row>
    <row r="71" customFormat="false" ht="15" hidden="false" customHeight="false" outlineLevel="0" collapsed="false">
      <c r="A71" s="10"/>
      <c r="B71" s="10"/>
      <c r="C71" s="10"/>
      <c r="D71" s="10"/>
      <c r="E71" s="11"/>
      <c r="F71" s="28"/>
      <c r="G71" s="29" t="str">
        <f aca="false">IF(OR(E71="",F71=""),"",EDATE(E71,F71))</f>
        <v/>
      </c>
      <c r="H71" s="18" t="str">
        <f aca="false">IF(A71="","",IF(G71="","Not trained",IF(G71&lt;Dashboard!$C$5,"Expired",IF(G71-Dashboard!$C$5&lt;=Lists!$N$7,"Expiring","Current"))))</f>
        <v/>
      </c>
      <c r="I71" s="10"/>
      <c r="J71" s="10"/>
    </row>
    <row r="72" customFormat="false" ht="15" hidden="false" customHeight="false" outlineLevel="0" collapsed="false">
      <c r="A72" s="10"/>
      <c r="B72" s="10"/>
      <c r="C72" s="10"/>
      <c r="D72" s="10"/>
      <c r="E72" s="11"/>
      <c r="F72" s="28"/>
      <c r="G72" s="29" t="str">
        <f aca="false">IF(OR(E72="",F72=""),"",EDATE(E72,F72))</f>
        <v/>
      </c>
      <c r="H72" s="18" t="str">
        <f aca="false">IF(A72="","",IF(G72="","Not trained",IF(G72&lt;Dashboard!$C$5,"Expired",IF(G72-Dashboard!$C$5&lt;=Lists!$N$7,"Expiring","Current"))))</f>
        <v/>
      </c>
      <c r="I72" s="10"/>
      <c r="J72" s="10"/>
    </row>
    <row r="73" customFormat="false" ht="15" hidden="false" customHeight="false" outlineLevel="0" collapsed="false">
      <c r="A73" s="10"/>
      <c r="B73" s="10"/>
      <c r="C73" s="10"/>
      <c r="D73" s="10"/>
      <c r="E73" s="11"/>
      <c r="F73" s="28"/>
      <c r="G73" s="29" t="str">
        <f aca="false">IF(OR(E73="",F73=""),"",EDATE(E73,F73))</f>
        <v/>
      </c>
      <c r="H73" s="18" t="str">
        <f aca="false">IF(A73="","",IF(G73="","Not trained",IF(G73&lt;Dashboard!$C$5,"Expired",IF(G73-Dashboard!$C$5&lt;=Lists!$N$7,"Expiring","Current"))))</f>
        <v/>
      </c>
      <c r="I73" s="10"/>
      <c r="J73" s="10"/>
    </row>
    <row r="74" customFormat="false" ht="15" hidden="false" customHeight="false" outlineLevel="0" collapsed="false">
      <c r="A74" s="10"/>
      <c r="B74" s="10"/>
      <c r="C74" s="10"/>
      <c r="D74" s="10"/>
      <c r="E74" s="11"/>
      <c r="F74" s="28"/>
      <c r="G74" s="29" t="str">
        <f aca="false">IF(OR(E74="",F74=""),"",EDATE(E74,F74))</f>
        <v/>
      </c>
      <c r="H74" s="18" t="str">
        <f aca="false">IF(A74="","",IF(G74="","Not trained",IF(G74&lt;Dashboard!$C$5,"Expired",IF(G74-Dashboard!$C$5&lt;=Lists!$N$7,"Expiring","Current"))))</f>
        <v/>
      </c>
      <c r="I74" s="10"/>
      <c r="J74" s="10"/>
    </row>
    <row r="75" customFormat="false" ht="15" hidden="false" customHeight="false" outlineLevel="0" collapsed="false">
      <c r="A75" s="10"/>
      <c r="B75" s="10"/>
      <c r="C75" s="10"/>
      <c r="D75" s="10"/>
      <c r="E75" s="11"/>
      <c r="F75" s="28"/>
      <c r="G75" s="29" t="str">
        <f aca="false">IF(OR(E75="",F75=""),"",EDATE(E75,F75))</f>
        <v/>
      </c>
      <c r="H75" s="18" t="str">
        <f aca="false">IF(A75="","",IF(G75="","Not trained",IF(G75&lt;Dashboard!$C$5,"Expired",IF(G75-Dashboard!$C$5&lt;=Lists!$N$7,"Expiring","Current"))))</f>
        <v/>
      </c>
      <c r="I75" s="10"/>
      <c r="J75" s="10"/>
    </row>
    <row r="76" customFormat="false" ht="15" hidden="false" customHeight="false" outlineLevel="0" collapsed="false">
      <c r="A76" s="10"/>
      <c r="B76" s="10"/>
      <c r="C76" s="10"/>
      <c r="D76" s="10"/>
      <c r="E76" s="11"/>
      <c r="F76" s="28"/>
      <c r="G76" s="29" t="str">
        <f aca="false">IF(OR(E76="",F76=""),"",EDATE(E76,F76))</f>
        <v/>
      </c>
      <c r="H76" s="18" t="str">
        <f aca="false">IF(A76="","",IF(G76="","Not trained",IF(G76&lt;Dashboard!$C$5,"Expired",IF(G76-Dashboard!$C$5&lt;=Lists!$N$7,"Expiring","Current"))))</f>
        <v/>
      </c>
      <c r="I76" s="10"/>
      <c r="J76" s="10"/>
    </row>
    <row r="77" customFormat="false" ht="15" hidden="false" customHeight="false" outlineLevel="0" collapsed="false">
      <c r="A77" s="10"/>
      <c r="B77" s="10"/>
      <c r="C77" s="10"/>
      <c r="D77" s="10"/>
      <c r="E77" s="11"/>
      <c r="F77" s="28"/>
      <c r="G77" s="29" t="str">
        <f aca="false">IF(OR(E77="",F77=""),"",EDATE(E77,F77))</f>
        <v/>
      </c>
      <c r="H77" s="18" t="str">
        <f aca="false">IF(A77="","",IF(G77="","Not trained",IF(G77&lt;Dashboard!$C$5,"Expired",IF(G77-Dashboard!$C$5&lt;=Lists!$N$7,"Expiring","Current"))))</f>
        <v/>
      </c>
      <c r="I77" s="10"/>
      <c r="J77" s="10"/>
    </row>
    <row r="78" customFormat="false" ht="15" hidden="false" customHeight="false" outlineLevel="0" collapsed="false">
      <c r="A78" s="10"/>
      <c r="B78" s="10"/>
      <c r="C78" s="10"/>
      <c r="D78" s="10"/>
      <c r="E78" s="11"/>
      <c r="F78" s="28"/>
      <c r="G78" s="29" t="str">
        <f aca="false">IF(OR(E78="",F78=""),"",EDATE(E78,F78))</f>
        <v/>
      </c>
      <c r="H78" s="18" t="str">
        <f aca="false">IF(A78="","",IF(G78="","Not trained",IF(G78&lt;Dashboard!$C$5,"Expired",IF(G78-Dashboard!$C$5&lt;=Lists!$N$7,"Expiring","Current"))))</f>
        <v/>
      </c>
      <c r="I78" s="10"/>
      <c r="J78" s="10"/>
    </row>
    <row r="79" customFormat="false" ht="15" hidden="false" customHeight="false" outlineLevel="0" collapsed="false">
      <c r="A79" s="10"/>
      <c r="B79" s="10"/>
      <c r="C79" s="10"/>
      <c r="D79" s="10"/>
      <c r="E79" s="11"/>
      <c r="F79" s="28"/>
      <c r="G79" s="29" t="str">
        <f aca="false">IF(OR(E79="",F79=""),"",EDATE(E79,F79))</f>
        <v/>
      </c>
      <c r="H79" s="18" t="str">
        <f aca="false">IF(A79="","",IF(G79="","Not trained",IF(G79&lt;Dashboard!$C$5,"Expired",IF(G79-Dashboard!$C$5&lt;=Lists!$N$7,"Expiring","Current"))))</f>
        <v/>
      </c>
      <c r="I79" s="10"/>
      <c r="J79" s="10"/>
    </row>
    <row r="80" customFormat="false" ht="15" hidden="false" customHeight="false" outlineLevel="0" collapsed="false">
      <c r="A80" s="10"/>
      <c r="B80" s="10"/>
      <c r="C80" s="10"/>
      <c r="D80" s="10"/>
      <c r="E80" s="11"/>
      <c r="F80" s="28"/>
      <c r="G80" s="29" t="str">
        <f aca="false">IF(OR(E80="",F80=""),"",EDATE(E80,F80))</f>
        <v/>
      </c>
      <c r="H80" s="18" t="str">
        <f aca="false">IF(A80="","",IF(G80="","Not trained",IF(G80&lt;Dashboard!$C$5,"Expired",IF(G80-Dashboard!$C$5&lt;=Lists!$N$7,"Expiring","Current"))))</f>
        <v/>
      </c>
      <c r="I80" s="10"/>
      <c r="J80" s="10"/>
    </row>
    <row r="81" customFormat="false" ht="15" hidden="false" customHeight="false" outlineLevel="0" collapsed="false">
      <c r="A81" s="10"/>
      <c r="B81" s="10"/>
      <c r="C81" s="10"/>
      <c r="D81" s="10"/>
      <c r="E81" s="11"/>
      <c r="F81" s="28"/>
      <c r="G81" s="29" t="str">
        <f aca="false">IF(OR(E81="",F81=""),"",EDATE(E81,F81))</f>
        <v/>
      </c>
      <c r="H81" s="18" t="str">
        <f aca="false">IF(A81="","",IF(G81="","Not trained",IF(G81&lt;Dashboard!$C$5,"Expired",IF(G81-Dashboard!$C$5&lt;=Lists!$N$7,"Expiring","Current"))))</f>
        <v/>
      </c>
      <c r="I81" s="10"/>
      <c r="J81" s="10"/>
    </row>
    <row r="82" customFormat="false" ht="15" hidden="false" customHeight="false" outlineLevel="0" collapsed="false">
      <c r="A82" s="10"/>
      <c r="B82" s="10"/>
      <c r="C82" s="10"/>
      <c r="D82" s="10"/>
      <c r="E82" s="11"/>
      <c r="F82" s="28"/>
      <c r="G82" s="29" t="str">
        <f aca="false">IF(OR(E82="",F82=""),"",EDATE(E82,F82))</f>
        <v/>
      </c>
      <c r="H82" s="18" t="str">
        <f aca="false">IF(A82="","",IF(G82="","Not trained",IF(G82&lt;Dashboard!$C$5,"Expired",IF(G82-Dashboard!$C$5&lt;=Lists!$N$7,"Expiring","Current"))))</f>
        <v/>
      </c>
      <c r="I82" s="10"/>
      <c r="J82" s="10"/>
    </row>
    <row r="83" customFormat="false" ht="15" hidden="false" customHeight="false" outlineLevel="0" collapsed="false">
      <c r="A83" s="10"/>
      <c r="B83" s="10"/>
      <c r="C83" s="10"/>
      <c r="D83" s="10"/>
      <c r="E83" s="11"/>
      <c r="F83" s="28"/>
      <c r="G83" s="29" t="str">
        <f aca="false">IF(OR(E83="",F83=""),"",EDATE(E83,F83))</f>
        <v/>
      </c>
      <c r="H83" s="18" t="str">
        <f aca="false">IF(A83="","",IF(G83="","Not trained",IF(G83&lt;Dashboard!$C$5,"Expired",IF(G83-Dashboard!$C$5&lt;=Lists!$N$7,"Expiring","Current"))))</f>
        <v/>
      </c>
      <c r="I83" s="10"/>
      <c r="J83" s="10"/>
    </row>
    <row r="84" customFormat="false" ht="15" hidden="false" customHeight="false" outlineLevel="0" collapsed="false">
      <c r="A84" s="10"/>
      <c r="B84" s="10"/>
      <c r="C84" s="10"/>
      <c r="D84" s="10"/>
      <c r="E84" s="11"/>
      <c r="F84" s="28"/>
      <c r="G84" s="29" t="str">
        <f aca="false">IF(OR(E84="",F84=""),"",EDATE(E84,F84))</f>
        <v/>
      </c>
      <c r="H84" s="18" t="str">
        <f aca="false">IF(A84="","",IF(G84="","Not trained",IF(G84&lt;Dashboard!$C$5,"Expired",IF(G84-Dashboard!$C$5&lt;=Lists!$N$7,"Expiring","Current"))))</f>
        <v/>
      </c>
      <c r="I84" s="10"/>
      <c r="J84" s="10"/>
    </row>
    <row r="85" customFormat="false" ht="15" hidden="false" customHeight="false" outlineLevel="0" collapsed="false">
      <c r="A85" s="10"/>
      <c r="B85" s="10"/>
      <c r="C85" s="10"/>
      <c r="D85" s="10"/>
      <c r="E85" s="11"/>
      <c r="F85" s="28"/>
      <c r="G85" s="29" t="str">
        <f aca="false">IF(OR(E85="",F85=""),"",EDATE(E85,F85))</f>
        <v/>
      </c>
      <c r="H85" s="18" t="str">
        <f aca="false">IF(A85="","",IF(G85="","Not trained",IF(G85&lt;Dashboard!$C$5,"Expired",IF(G85-Dashboard!$C$5&lt;=Lists!$N$7,"Expiring","Current"))))</f>
        <v/>
      </c>
      <c r="I85" s="10"/>
      <c r="J85" s="10"/>
    </row>
    <row r="86" customFormat="false" ht="15" hidden="false" customHeight="false" outlineLevel="0" collapsed="false">
      <c r="A86" s="10"/>
      <c r="B86" s="10"/>
      <c r="C86" s="10"/>
      <c r="D86" s="10"/>
      <c r="E86" s="11"/>
      <c r="F86" s="28"/>
      <c r="G86" s="29" t="str">
        <f aca="false">IF(OR(E86="",F86=""),"",EDATE(E86,F86))</f>
        <v/>
      </c>
      <c r="H86" s="18" t="str">
        <f aca="false">IF(A86="","",IF(G86="","Not trained",IF(G86&lt;Dashboard!$C$5,"Expired",IF(G86-Dashboard!$C$5&lt;=Lists!$N$7,"Expiring","Current"))))</f>
        <v/>
      </c>
      <c r="I86" s="10"/>
      <c r="J86" s="10"/>
    </row>
    <row r="87" customFormat="false" ht="15" hidden="false" customHeight="false" outlineLevel="0" collapsed="false">
      <c r="A87" s="10"/>
      <c r="B87" s="10"/>
      <c r="C87" s="10"/>
      <c r="D87" s="10"/>
      <c r="E87" s="11"/>
      <c r="F87" s="28"/>
      <c r="G87" s="29" t="str">
        <f aca="false">IF(OR(E87="",F87=""),"",EDATE(E87,F87))</f>
        <v/>
      </c>
      <c r="H87" s="18" t="str">
        <f aca="false">IF(A87="","",IF(G87="","Not trained",IF(G87&lt;Dashboard!$C$5,"Expired",IF(G87-Dashboard!$C$5&lt;=Lists!$N$7,"Expiring","Current"))))</f>
        <v/>
      </c>
      <c r="I87" s="10"/>
      <c r="J87" s="10"/>
    </row>
    <row r="88" customFormat="false" ht="15" hidden="false" customHeight="false" outlineLevel="0" collapsed="false">
      <c r="A88" s="10"/>
      <c r="B88" s="10"/>
      <c r="C88" s="10"/>
      <c r="D88" s="10"/>
      <c r="E88" s="11"/>
      <c r="F88" s="28"/>
      <c r="G88" s="29" t="str">
        <f aca="false">IF(OR(E88="",F88=""),"",EDATE(E88,F88))</f>
        <v/>
      </c>
      <c r="H88" s="18" t="str">
        <f aca="false">IF(A88="","",IF(G88="","Not trained",IF(G88&lt;Dashboard!$C$5,"Expired",IF(G88-Dashboard!$C$5&lt;=Lists!$N$7,"Expiring","Current"))))</f>
        <v/>
      </c>
      <c r="I88" s="10"/>
      <c r="J88" s="10"/>
    </row>
    <row r="89" customFormat="false" ht="15" hidden="false" customHeight="false" outlineLevel="0" collapsed="false">
      <c r="A89" s="10"/>
      <c r="B89" s="10"/>
      <c r="C89" s="10"/>
      <c r="D89" s="10"/>
      <c r="E89" s="11"/>
      <c r="F89" s="28"/>
      <c r="G89" s="29" t="str">
        <f aca="false">IF(OR(E89="",F89=""),"",EDATE(E89,F89))</f>
        <v/>
      </c>
      <c r="H89" s="18" t="str">
        <f aca="false">IF(A89="","",IF(G89="","Not trained",IF(G89&lt;Dashboard!$C$5,"Expired",IF(G89-Dashboard!$C$5&lt;=Lists!$N$7,"Expiring","Current"))))</f>
        <v/>
      </c>
      <c r="I89" s="10"/>
      <c r="J89" s="10"/>
    </row>
    <row r="90" customFormat="false" ht="15" hidden="false" customHeight="false" outlineLevel="0" collapsed="false">
      <c r="A90" s="10"/>
      <c r="B90" s="10"/>
      <c r="C90" s="10"/>
      <c r="D90" s="10"/>
      <c r="E90" s="11"/>
      <c r="F90" s="28"/>
      <c r="G90" s="29" t="str">
        <f aca="false">IF(OR(E90="",F90=""),"",EDATE(E90,F90))</f>
        <v/>
      </c>
      <c r="H90" s="18" t="str">
        <f aca="false">IF(A90="","",IF(G90="","Not trained",IF(G90&lt;Dashboard!$C$5,"Expired",IF(G90-Dashboard!$C$5&lt;=Lists!$N$7,"Expiring","Current"))))</f>
        <v/>
      </c>
      <c r="I90" s="10"/>
      <c r="J90" s="10"/>
    </row>
    <row r="91" customFormat="false" ht="15" hidden="false" customHeight="false" outlineLevel="0" collapsed="false">
      <c r="A91" s="10"/>
      <c r="B91" s="10"/>
      <c r="C91" s="10"/>
      <c r="D91" s="10"/>
      <c r="E91" s="11"/>
      <c r="F91" s="28"/>
      <c r="G91" s="29" t="str">
        <f aca="false">IF(OR(E91="",F91=""),"",EDATE(E91,F91))</f>
        <v/>
      </c>
      <c r="H91" s="18" t="str">
        <f aca="false">IF(A91="","",IF(G91="","Not trained",IF(G91&lt;Dashboard!$C$5,"Expired",IF(G91-Dashboard!$C$5&lt;=Lists!$N$7,"Expiring","Current"))))</f>
        <v/>
      </c>
      <c r="I91" s="10"/>
      <c r="J91" s="10"/>
    </row>
    <row r="92" customFormat="false" ht="15" hidden="false" customHeight="false" outlineLevel="0" collapsed="false">
      <c r="A92" s="10"/>
      <c r="B92" s="10"/>
      <c r="C92" s="10"/>
      <c r="D92" s="10"/>
      <c r="E92" s="11"/>
      <c r="F92" s="28"/>
      <c r="G92" s="29" t="str">
        <f aca="false">IF(OR(E92="",F92=""),"",EDATE(E92,F92))</f>
        <v/>
      </c>
      <c r="H92" s="18" t="str">
        <f aca="false">IF(A92="","",IF(G92="","Not trained",IF(G92&lt;Dashboard!$C$5,"Expired",IF(G92-Dashboard!$C$5&lt;=Lists!$N$7,"Expiring","Current"))))</f>
        <v/>
      </c>
      <c r="I92" s="10"/>
      <c r="J92" s="10"/>
    </row>
    <row r="93" customFormat="false" ht="15" hidden="false" customHeight="false" outlineLevel="0" collapsed="false">
      <c r="A93" s="10"/>
      <c r="B93" s="10"/>
      <c r="C93" s="10"/>
      <c r="D93" s="10"/>
      <c r="E93" s="11"/>
      <c r="F93" s="28"/>
      <c r="G93" s="29" t="str">
        <f aca="false">IF(OR(E93="",F93=""),"",EDATE(E93,F93))</f>
        <v/>
      </c>
      <c r="H93" s="18" t="str">
        <f aca="false">IF(A93="","",IF(G93="","Not trained",IF(G93&lt;Dashboard!$C$5,"Expired",IF(G93-Dashboard!$C$5&lt;=Lists!$N$7,"Expiring","Current"))))</f>
        <v/>
      </c>
      <c r="I93" s="10"/>
      <c r="J93" s="10"/>
    </row>
    <row r="94" customFormat="false" ht="15" hidden="false" customHeight="false" outlineLevel="0" collapsed="false">
      <c r="A94" s="10"/>
      <c r="B94" s="10"/>
      <c r="C94" s="10"/>
      <c r="D94" s="10"/>
      <c r="E94" s="11"/>
      <c r="F94" s="28"/>
      <c r="G94" s="29" t="str">
        <f aca="false">IF(OR(E94="",F94=""),"",EDATE(E94,F94))</f>
        <v/>
      </c>
      <c r="H94" s="18" t="str">
        <f aca="false">IF(A94="","",IF(G94="","Not trained",IF(G94&lt;Dashboard!$C$5,"Expired",IF(G94-Dashboard!$C$5&lt;=Lists!$N$7,"Expiring","Current"))))</f>
        <v/>
      </c>
      <c r="I94" s="10"/>
      <c r="J94" s="10"/>
    </row>
    <row r="95" customFormat="false" ht="15" hidden="false" customHeight="false" outlineLevel="0" collapsed="false">
      <c r="A95" s="10"/>
      <c r="B95" s="10"/>
      <c r="C95" s="10"/>
      <c r="D95" s="10"/>
      <c r="E95" s="11"/>
      <c r="F95" s="28"/>
      <c r="G95" s="29" t="str">
        <f aca="false">IF(OR(E95="",F95=""),"",EDATE(E95,F95))</f>
        <v/>
      </c>
      <c r="H95" s="18" t="str">
        <f aca="false">IF(A95="","",IF(G95="","Not trained",IF(G95&lt;Dashboard!$C$5,"Expired",IF(G95-Dashboard!$C$5&lt;=Lists!$N$7,"Expiring","Current"))))</f>
        <v/>
      </c>
      <c r="I95" s="10"/>
      <c r="J95" s="10"/>
    </row>
    <row r="96" customFormat="false" ht="15" hidden="false" customHeight="false" outlineLevel="0" collapsed="false">
      <c r="A96" s="10"/>
      <c r="B96" s="10"/>
      <c r="C96" s="10"/>
      <c r="D96" s="10"/>
      <c r="E96" s="11"/>
      <c r="F96" s="28"/>
      <c r="G96" s="29" t="str">
        <f aca="false">IF(OR(E96="",F96=""),"",EDATE(E96,F96))</f>
        <v/>
      </c>
      <c r="H96" s="18" t="str">
        <f aca="false">IF(A96="","",IF(G96="","Not trained",IF(G96&lt;Dashboard!$C$5,"Expired",IF(G96-Dashboard!$C$5&lt;=Lists!$N$7,"Expiring","Current"))))</f>
        <v/>
      </c>
      <c r="I96" s="10"/>
      <c r="J96" s="10"/>
    </row>
    <row r="97" customFormat="false" ht="15" hidden="false" customHeight="false" outlineLevel="0" collapsed="false">
      <c r="A97" s="10"/>
      <c r="B97" s="10"/>
      <c r="C97" s="10"/>
      <c r="D97" s="10"/>
      <c r="E97" s="11"/>
      <c r="F97" s="28"/>
      <c r="G97" s="29" t="str">
        <f aca="false">IF(OR(E97="",F97=""),"",EDATE(E97,F97))</f>
        <v/>
      </c>
      <c r="H97" s="18" t="str">
        <f aca="false">IF(A97="","",IF(G97="","Not trained",IF(G97&lt;Dashboard!$C$5,"Expired",IF(G97-Dashboard!$C$5&lt;=Lists!$N$7,"Expiring","Current"))))</f>
        <v/>
      </c>
      <c r="I97" s="10"/>
      <c r="J97" s="10"/>
    </row>
    <row r="98" customFormat="false" ht="15" hidden="false" customHeight="false" outlineLevel="0" collapsed="false">
      <c r="A98" s="10"/>
      <c r="B98" s="10"/>
      <c r="C98" s="10"/>
      <c r="D98" s="10"/>
      <c r="E98" s="11"/>
      <c r="F98" s="28"/>
      <c r="G98" s="29" t="str">
        <f aca="false">IF(OR(E98="",F98=""),"",EDATE(E98,F98))</f>
        <v/>
      </c>
      <c r="H98" s="18" t="str">
        <f aca="false">IF(A98="","",IF(G98="","Not trained",IF(G98&lt;Dashboard!$C$5,"Expired",IF(G98-Dashboard!$C$5&lt;=Lists!$N$7,"Expiring","Current"))))</f>
        <v/>
      </c>
      <c r="I98" s="10"/>
      <c r="J98" s="10"/>
    </row>
    <row r="99" customFormat="false" ht="15" hidden="false" customHeight="false" outlineLevel="0" collapsed="false">
      <c r="A99" s="10"/>
      <c r="B99" s="10"/>
      <c r="C99" s="10"/>
      <c r="D99" s="10"/>
      <c r="E99" s="11"/>
      <c r="F99" s="28"/>
      <c r="G99" s="29" t="str">
        <f aca="false">IF(OR(E99="",F99=""),"",EDATE(E99,F99))</f>
        <v/>
      </c>
      <c r="H99" s="18" t="str">
        <f aca="false">IF(A99="","",IF(G99="","Not trained",IF(G99&lt;Dashboard!$C$5,"Expired",IF(G99-Dashboard!$C$5&lt;=Lists!$N$7,"Expiring","Current"))))</f>
        <v/>
      </c>
      <c r="I99" s="10"/>
      <c r="J99" s="10"/>
    </row>
    <row r="100" customFormat="false" ht="15" hidden="false" customHeight="false" outlineLevel="0" collapsed="false">
      <c r="A100" s="10"/>
      <c r="B100" s="10"/>
      <c r="C100" s="10"/>
      <c r="D100" s="10"/>
      <c r="E100" s="11"/>
      <c r="F100" s="28"/>
      <c r="G100" s="29" t="str">
        <f aca="false">IF(OR(E100="",F100=""),"",EDATE(E100,F100))</f>
        <v/>
      </c>
      <c r="H100" s="18" t="str">
        <f aca="false">IF(A100="","",IF(G100="","Not trained",IF(G100&lt;Dashboard!$C$5,"Expired",IF(G100-Dashboard!$C$5&lt;=Lists!$N$7,"Expiring","Current"))))</f>
        <v/>
      </c>
      <c r="I100" s="10"/>
      <c r="J100" s="10"/>
    </row>
    <row r="101" customFormat="false" ht="15" hidden="false" customHeight="false" outlineLevel="0" collapsed="false">
      <c r="A101" s="10"/>
      <c r="B101" s="10"/>
      <c r="C101" s="10"/>
      <c r="D101" s="10"/>
      <c r="E101" s="11"/>
      <c r="F101" s="28"/>
      <c r="G101" s="29" t="str">
        <f aca="false">IF(OR(E101="",F101=""),"",EDATE(E101,F101))</f>
        <v/>
      </c>
      <c r="H101" s="18" t="str">
        <f aca="false">IF(A101="","",IF(G101="","Not trained",IF(G101&lt;Dashboard!$C$5,"Expired",IF(G101-Dashboard!$C$5&lt;=Lists!$N$7,"Expiring","Current"))))</f>
        <v/>
      </c>
      <c r="I101" s="10"/>
      <c r="J101" s="10"/>
    </row>
    <row r="102" customFormat="false" ht="15" hidden="false" customHeight="false" outlineLevel="0" collapsed="false">
      <c r="A102" s="10"/>
      <c r="B102" s="10"/>
      <c r="C102" s="10"/>
      <c r="D102" s="10"/>
      <c r="E102" s="11"/>
      <c r="F102" s="28"/>
      <c r="G102" s="29" t="str">
        <f aca="false">IF(OR(E102="",F102=""),"",EDATE(E102,F102))</f>
        <v/>
      </c>
      <c r="H102" s="18" t="str">
        <f aca="false">IF(A102="","",IF(G102="","Not trained",IF(G102&lt;Dashboard!$C$5,"Expired",IF(G102-Dashboard!$C$5&lt;=Lists!$N$7,"Expiring","Current"))))</f>
        <v/>
      </c>
      <c r="I102" s="10"/>
      <c r="J102" s="10"/>
    </row>
    <row r="103" customFormat="false" ht="15" hidden="false" customHeight="false" outlineLevel="0" collapsed="false">
      <c r="A103" s="10"/>
      <c r="B103" s="10"/>
      <c r="C103" s="10"/>
      <c r="D103" s="10"/>
      <c r="E103" s="11"/>
      <c r="F103" s="28"/>
      <c r="G103" s="29" t="str">
        <f aca="false">IF(OR(E103="",F103=""),"",EDATE(E103,F103))</f>
        <v/>
      </c>
      <c r="H103" s="18" t="str">
        <f aca="false">IF(A103="","",IF(G103="","Not trained",IF(G103&lt;Dashboard!$C$5,"Expired",IF(G103-Dashboard!$C$5&lt;=Lists!$N$7,"Expiring","Current"))))</f>
        <v/>
      </c>
      <c r="I103" s="10"/>
      <c r="J103" s="10"/>
    </row>
    <row r="104" customFormat="false" ht="15" hidden="false" customHeight="false" outlineLevel="0" collapsed="false">
      <c r="A104" s="10"/>
      <c r="B104" s="10"/>
      <c r="C104" s="10"/>
      <c r="D104" s="10"/>
      <c r="E104" s="11"/>
      <c r="F104" s="28"/>
      <c r="G104" s="29" t="str">
        <f aca="false">IF(OR(E104="",F104=""),"",EDATE(E104,F104))</f>
        <v/>
      </c>
      <c r="H104" s="18" t="str">
        <f aca="false">IF(A104="","",IF(G104="","Not trained",IF(G104&lt;Dashboard!$C$5,"Expired",IF(G104-Dashboard!$C$5&lt;=Lists!$N$7,"Expiring","Current"))))</f>
        <v/>
      </c>
      <c r="I104" s="10"/>
      <c r="J104" s="10"/>
    </row>
  </sheetData>
  <conditionalFormatting sqref="H5:H104">
    <cfRule type="cellIs" priority="2" operator="equal" aboveAverage="0" equalAverage="0" bottom="0" percent="0" rank="0" text="" dxfId="0">
      <formula>"Current"</formula>
    </cfRule>
    <cfRule type="cellIs" priority="3" operator="equal" aboveAverage="0" equalAverage="0" bottom="0" percent="0" rank="0" text="" dxfId="1">
      <formula>"Expiring"</formula>
    </cfRule>
    <cfRule type="cellIs" priority="4" operator="equal" aboveAverage="0" equalAverage="0" bottom="0" percent="0" rank="0" text="" dxfId="2">
      <formula>"Expired"</formula>
    </cfRule>
    <cfRule type="cellIs" priority="5" operator="equal" aboveAverage="0" equalAverage="0" bottom="0" percent="0" rank="0" text="" dxfId="2">
      <formula>"Not trained"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C5:C104" type="list">
      <formula1>Lists!$G$2:$G$9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104" type="list">
      <formula1>Lists!$H$2:$H$11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10" min="9" style="0" width="28"/>
    <col collapsed="false" customWidth="true" hidden="false" outlineLevel="0" max="11" min="11" style="0" width="32"/>
    <col collapsed="false" customWidth="true" hidden="false" outlineLevel="0" max="12" min="12" style="0" width="16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10"/>
  </cols>
  <sheetData>
    <row r="1" customFormat="false" ht="19.7" hidden="false" customHeight="false" outlineLevel="0" collapsed="false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291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1.5" hidden="false" customHeight="true" outlineLevel="0" collapsed="false">
      <c r="A4" s="12" t="s">
        <v>136</v>
      </c>
      <c r="B4" s="12" t="s">
        <v>102</v>
      </c>
      <c r="C4" s="12" t="s">
        <v>292</v>
      </c>
      <c r="D4" s="12" t="s">
        <v>293</v>
      </c>
      <c r="E4" s="12" t="s">
        <v>294</v>
      </c>
      <c r="F4" s="12" t="s">
        <v>295</v>
      </c>
      <c r="G4" s="12" t="s">
        <v>296</v>
      </c>
      <c r="H4" s="12" t="s">
        <v>297</v>
      </c>
      <c r="I4" s="12" t="s">
        <v>298</v>
      </c>
      <c r="J4" s="12" t="s">
        <v>299</v>
      </c>
      <c r="K4" s="12" t="s">
        <v>300</v>
      </c>
      <c r="L4" s="12" t="s">
        <v>301</v>
      </c>
      <c r="M4" s="12" t="s">
        <v>302</v>
      </c>
      <c r="N4" s="12" t="s">
        <v>303</v>
      </c>
      <c r="O4" s="12" t="s">
        <v>304</v>
      </c>
      <c r="P4" s="12" t="s">
        <v>305</v>
      </c>
      <c r="Q4" s="12" t="s">
        <v>306</v>
      </c>
    </row>
    <row r="5" customFormat="false" ht="39.55" hidden="false" customHeight="false" outlineLevel="0" collapsed="false">
      <c r="A5" s="18" t="str">
        <f aca="false">IF(B5="","","INC-"&amp;TEXT(ROW()-4,"000"))</f>
        <v>INC-001</v>
      </c>
      <c r="B5" s="11" t="n">
        <v>46277</v>
      </c>
      <c r="C5" s="10" t="s">
        <v>88</v>
      </c>
      <c r="D5" s="10" t="s">
        <v>99</v>
      </c>
      <c r="E5" s="10" t="s">
        <v>307</v>
      </c>
      <c r="F5" s="23" t="s">
        <v>308</v>
      </c>
      <c r="G5" s="23" t="s">
        <v>113</v>
      </c>
      <c r="H5" s="10" t="s">
        <v>158</v>
      </c>
      <c r="I5" s="10" t="s">
        <v>309</v>
      </c>
      <c r="J5" s="10" t="s">
        <v>310</v>
      </c>
      <c r="K5" s="10" t="s">
        <v>311</v>
      </c>
      <c r="L5" s="10" t="s">
        <v>195</v>
      </c>
      <c r="M5" s="11" t="n">
        <v>46295</v>
      </c>
      <c r="N5" s="11" t="n">
        <v>46290</v>
      </c>
      <c r="O5" s="23" t="s">
        <v>113</v>
      </c>
      <c r="P5" s="18" t="str">
        <f aca="false">IF(B5="","",IF(N5&lt;&gt;"","Closed",IF(K5="","CAPA not set",IF(M5="","Open",IF(M5&lt;Dashboard!$C$5,"Overdue","Open")))))</f>
        <v>Closed</v>
      </c>
      <c r="Q5" s="19" t="n">
        <f aca="false">IF(OR(B5="",N5=""),"",N5-B5)</f>
        <v>13</v>
      </c>
    </row>
    <row r="6" customFormat="false" ht="15" hidden="false" customHeight="false" outlineLevel="0" collapsed="false">
      <c r="A6" s="18" t="str">
        <f aca="false">IF(B6="","","INC-"&amp;TEXT(ROW()-4,"000"))</f>
        <v/>
      </c>
      <c r="B6" s="11"/>
      <c r="C6" s="10"/>
      <c r="D6" s="10"/>
      <c r="E6" s="10"/>
      <c r="F6" s="23"/>
      <c r="G6" s="23"/>
      <c r="H6" s="10"/>
      <c r="I6" s="10"/>
      <c r="J6" s="10"/>
      <c r="K6" s="10"/>
      <c r="L6" s="10"/>
      <c r="M6" s="11"/>
      <c r="N6" s="11"/>
      <c r="O6" s="23"/>
      <c r="P6" s="18" t="str">
        <f aca="false">IF(B6="","",IF(N6&lt;&gt;"","Closed",IF(K6="","CAPA not set",IF(M6="","Open",IF(M6&lt;Dashboard!$C$5,"Overdue","Open")))))</f>
        <v/>
      </c>
      <c r="Q6" s="19" t="str">
        <f aca="false">IF(OR(B6="",N6=""),"",N6-B6)</f>
        <v/>
      </c>
    </row>
    <row r="7" customFormat="false" ht="15" hidden="false" customHeight="false" outlineLevel="0" collapsed="false">
      <c r="A7" s="18" t="str">
        <f aca="false">IF(B7="","","INC-"&amp;TEXT(ROW()-4,"000"))</f>
        <v/>
      </c>
      <c r="B7" s="11"/>
      <c r="C7" s="10"/>
      <c r="D7" s="10"/>
      <c r="E7" s="10"/>
      <c r="F7" s="23"/>
      <c r="G7" s="23"/>
      <c r="H7" s="10"/>
      <c r="I7" s="10"/>
      <c r="J7" s="10"/>
      <c r="K7" s="10"/>
      <c r="L7" s="10"/>
      <c r="M7" s="11"/>
      <c r="N7" s="11"/>
      <c r="O7" s="23"/>
      <c r="P7" s="18" t="str">
        <f aca="false">IF(B7="","",IF(N7&lt;&gt;"","Closed",IF(K7="","CAPA not set",IF(M7="","Open",IF(M7&lt;Dashboard!$C$5,"Overdue","Open")))))</f>
        <v/>
      </c>
      <c r="Q7" s="19" t="str">
        <f aca="false">IF(OR(B7="",N7=""),"",N7-B7)</f>
        <v/>
      </c>
    </row>
    <row r="8" customFormat="false" ht="15" hidden="false" customHeight="false" outlineLevel="0" collapsed="false">
      <c r="A8" s="18" t="str">
        <f aca="false">IF(B8="","","INC-"&amp;TEXT(ROW()-4,"000"))</f>
        <v/>
      </c>
      <c r="B8" s="11"/>
      <c r="C8" s="10"/>
      <c r="D8" s="10"/>
      <c r="E8" s="10"/>
      <c r="F8" s="23"/>
      <c r="G8" s="23"/>
      <c r="H8" s="10"/>
      <c r="I8" s="10"/>
      <c r="J8" s="10"/>
      <c r="K8" s="10"/>
      <c r="L8" s="10"/>
      <c r="M8" s="11"/>
      <c r="N8" s="11"/>
      <c r="O8" s="23"/>
      <c r="P8" s="18" t="str">
        <f aca="false">IF(B8="","",IF(N8&lt;&gt;"","Closed",IF(K8="","CAPA not set",IF(M8="","Open",IF(M8&lt;Dashboard!$C$5,"Overdue","Open")))))</f>
        <v/>
      </c>
      <c r="Q8" s="19" t="str">
        <f aca="false">IF(OR(B8="",N8=""),"",N8-B8)</f>
        <v/>
      </c>
    </row>
    <row r="9" customFormat="false" ht="15" hidden="false" customHeight="false" outlineLevel="0" collapsed="false">
      <c r="A9" s="18" t="str">
        <f aca="false">IF(B9="","","INC-"&amp;TEXT(ROW()-4,"000"))</f>
        <v/>
      </c>
      <c r="B9" s="11"/>
      <c r="C9" s="10"/>
      <c r="D9" s="10"/>
      <c r="E9" s="10"/>
      <c r="F9" s="23"/>
      <c r="G9" s="23"/>
      <c r="H9" s="10"/>
      <c r="I9" s="10"/>
      <c r="J9" s="10"/>
      <c r="K9" s="10"/>
      <c r="L9" s="10"/>
      <c r="M9" s="11"/>
      <c r="N9" s="11"/>
      <c r="O9" s="23"/>
      <c r="P9" s="18" t="str">
        <f aca="false">IF(B9="","",IF(N9&lt;&gt;"","Closed",IF(K9="","CAPA not set",IF(M9="","Open",IF(M9&lt;Dashboard!$C$5,"Overdue","Open")))))</f>
        <v/>
      </c>
      <c r="Q9" s="19" t="str">
        <f aca="false">IF(OR(B9="",N9=""),"",N9-B9)</f>
        <v/>
      </c>
    </row>
    <row r="10" customFormat="false" ht="15" hidden="false" customHeight="false" outlineLevel="0" collapsed="false">
      <c r="A10" s="18" t="str">
        <f aca="false">IF(B10="","","INC-"&amp;TEXT(ROW()-4,"000"))</f>
        <v/>
      </c>
      <c r="B10" s="11"/>
      <c r="C10" s="10"/>
      <c r="D10" s="10"/>
      <c r="E10" s="10"/>
      <c r="F10" s="23"/>
      <c r="G10" s="23"/>
      <c r="H10" s="10"/>
      <c r="I10" s="10"/>
      <c r="J10" s="10"/>
      <c r="K10" s="10"/>
      <c r="L10" s="10"/>
      <c r="M10" s="11"/>
      <c r="N10" s="11"/>
      <c r="O10" s="23"/>
      <c r="P10" s="18" t="str">
        <f aca="false">IF(B10="","",IF(N10&lt;&gt;"","Closed",IF(K10="","CAPA not set",IF(M10="","Open",IF(M10&lt;Dashboard!$C$5,"Overdue","Open")))))</f>
        <v/>
      </c>
      <c r="Q10" s="19" t="str">
        <f aca="false">IF(OR(B10="",N10=""),"",N10-B10)</f>
        <v/>
      </c>
    </row>
    <row r="11" customFormat="false" ht="15" hidden="false" customHeight="false" outlineLevel="0" collapsed="false">
      <c r="A11" s="18" t="str">
        <f aca="false">IF(B11="","","INC-"&amp;TEXT(ROW()-4,"000"))</f>
        <v/>
      </c>
      <c r="B11" s="11"/>
      <c r="C11" s="10"/>
      <c r="D11" s="10"/>
      <c r="E11" s="10"/>
      <c r="F11" s="23"/>
      <c r="G11" s="23"/>
      <c r="H11" s="10"/>
      <c r="I11" s="10"/>
      <c r="J11" s="10"/>
      <c r="K11" s="10"/>
      <c r="L11" s="10"/>
      <c r="M11" s="11"/>
      <c r="N11" s="11"/>
      <c r="O11" s="23"/>
      <c r="P11" s="18" t="str">
        <f aca="false">IF(B11="","",IF(N11&lt;&gt;"","Closed",IF(K11="","CAPA not set",IF(M11="","Open",IF(M11&lt;Dashboard!$C$5,"Overdue","Open")))))</f>
        <v/>
      </c>
      <c r="Q11" s="19" t="str">
        <f aca="false">IF(OR(B11="",N11=""),"",N11-B11)</f>
        <v/>
      </c>
    </row>
    <row r="12" customFormat="false" ht="15" hidden="false" customHeight="false" outlineLevel="0" collapsed="false">
      <c r="A12" s="18" t="str">
        <f aca="false">IF(B12="","","INC-"&amp;TEXT(ROW()-4,"000"))</f>
        <v/>
      </c>
      <c r="B12" s="11"/>
      <c r="C12" s="10"/>
      <c r="D12" s="10"/>
      <c r="E12" s="10"/>
      <c r="F12" s="23"/>
      <c r="G12" s="23"/>
      <c r="H12" s="10"/>
      <c r="I12" s="10"/>
      <c r="J12" s="10"/>
      <c r="K12" s="10"/>
      <c r="L12" s="10"/>
      <c r="M12" s="11"/>
      <c r="N12" s="11"/>
      <c r="O12" s="23"/>
      <c r="P12" s="18" t="str">
        <f aca="false">IF(B12="","",IF(N12&lt;&gt;"","Closed",IF(K12="","CAPA not set",IF(M12="","Open",IF(M12&lt;Dashboard!$C$5,"Overdue","Open")))))</f>
        <v/>
      </c>
      <c r="Q12" s="19" t="str">
        <f aca="false">IF(OR(B12="",N12=""),"",N12-B12)</f>
        <v/>
      </c>
    </row>
    <row r="13" customFormat="false" ht="15" hidden="false" customHeight="false" outlineLevel="0" collapsed="false">
      <c r="A13" s="18" t="str">
        <f aca="false">IF(B13="","","INC-"&amp;TEXT(ROW()-4,"000"))</f>
        <v/>
      </c>
      <c r="B13" s="11"/>
      <c r="C13" s="10"/>
      <c r="D13" s="10"/>
      <c r="E13" s="10"/>
      <c r="F13" s="23"/>
      <c r="G13" s="23"/>
      <c r="H13" s="10"/>
      <c r="I13" s="10"/>
      <c r="J13" s="10"/>
      <c r="K13" s="10"/>
      <c r="L13" s="10"/>
      <c r="M13" s="11"/>
      <c r="N13" s="11"/>
      <c r="O13" s="23"/>
      <c r="P13" s="18" t="str">
        <f aca="false">IF(B13="","",IF(N13&lt;&gt;"","Closed",IF(K13="","CAPA not set",IF(M13="","Open",IF(M13&lt;Dashboard!$C$5,"Overdue","Open")))))</f>
        <v/>
      </c>
      <c r="Q13" s="19" t="str">
        <f aca="false">IF(OR(B13="",N13=""),"",N13-B13)</f>
        <v/>
      </c>
    </row>
    <row r="14" customFormat="false" ht="15" hidden="false" customHeight="false" outlineLevel="0" collapsed="false">
      <c r="A14" s="18" t="str">
        <f aca="false">IF(B14="","","INC-"&amp;TEXT(ROW()-4,"000"))</f>
        <v/>
      </c>
      <c r="B14" s="11"/>
      <c r="C14" s="10"/>
      <c r="D14" s="10"/>
      <c r="E14" s="10"/>
      <c r="F14" s="23"/>
      <c r="G14" s="23"/>
      <c r="H14" s="10"/>
      <c r="I14" s="10"/>
      <c r="J14" s="10"/>
      <c r="K14" s="10"/>
      <c r="L14" s="10"/>
      <c r="M14" s="11"/>
      <c r="N14" s="11"/>
      <c r="O14" s="23"/>
      <c r="P14" s="18" t="str">
        <f aca="false">IF(B14="","",IF(N14&lt;&gt;"","Closed",IF(K14="","CAPA not set",IF(M14="","Open",IF(M14&lt;Dashboard!$C$5,"Overdue","Open")))))</f>
        <v/>
      </c>
      <c r="Q14" s="19" t="str">
        <f aca="false">IF(OR(B14="",N14=""),"",N14-B14)</f>
        <v/>
      </c>
    </row>
    <row r="15" customFormat="false" ht="15" hidden="false" customHeight="false" outlineLevel="0" collapsed="false">
      <c r="A15" s="18" t="str">
        <f aca="false">IF(B15="","","INC-"&amp;TEXT(ROW()-4,"000"))</f>
        <v/>
      </c>
      <c r="B15" s="11"/>
      <c r="C15" s="10"/>
      <c r="D15" s="10"/>
      <c r="E15" s="10"/>
      <c r="F15" s="23"/>
      <c r="G15" s="23"/>
      <c r="H15" s="10"/>
      <c r="I15" s="10"/>
      <c r="J15" s="10"/>
      <c r="K15" s="10"/>
      <c r="L15" s="10"/>
      <c r="M15" s="11"/>
      <c r="N15" s="11"/>
      <c r="O15" s="23"/>
      <c r="P15" s="18" t="str">
        <f aca="false">IF(B15="","",IF(N15&lt;&gt;"","Closed",IF(K15="","CAPA not set",IF(M15="","Open",IF(M15&lt;Dashboard!$C$5,"Overdue","Open")))))</f>
        <v/>
      </c>
      <c r="Q15" s="19" t="str">
        <f aca="false">IF(OR(B15="",N15=""),"",N15-B15)</f>
        <v/>
      </c>
    </row>
    <row r="16" customFormat="false" ht="15" hidden="false" customHeight="false" outlineLevel="0" collapsed="false">
      <c r="A16" s="18" t="str">
        <f aca="false">IF(B16="","","INC-"&amp;TEXT(ROW()-4,"000"))</f>
        <v/>
      </c>
      <c r="B16" s="11"/>
      <c r="C16" s="10"/>
      <c r="D16" s="10"/>
      <c r="E16" s="10"/>
      <c r="F16" s="23"/>
      <c r="G16" s="23"/>
      <c r="H16" s="10"/>
      <c r="I16" s="10"/>
      <c r="J16" s="10"/>
      <c r="K16" s="10"/>
      <c r="L16" s="10"/>
      <c r="M16" s="11"/>
      <c r="N16" s="11"/>
      <c r="O16" s="23"/>
      <c r="P16" s="18" t="str">
        <f aca="false">IF(B16="","",IF(N16&lt;&gt;"","Closed",IF(K16="","CAPA not set",IF(M16="","Open",IF(M16&lt;Dashboard!$C$5,"Overdue","Open")))))</f>
        <v/>
      </c>
      <c r="Q16" s="19" t="str">
        <f aca="false">IF(OR(B16="",N16=""),"",N16-B16)</f>
        <v/>
      </c>
    </row>
    <row r="17" customFormat="false" ht="15" hidden="false" customHeight="false" outlineLevel="0" collapsed="false">
      <c r="A17" s="18" t="str">
        <f aca="false">IF(B17="","","INC-"&amp;TEXT(ROW()-4,"000"))</f>
        <v/>
      </c>
      <c r="B17" s="11"/>
      <c r="C17" s="10"/>
      <c r="D17" s="10"/>
      <c r="E17" s="10"/>
      <c r="F17" s="23"/>
      <c r="G17" s="23"/>
      <c r="H17" s="10"/>
      <c r="I17" s="10"/>
      <c r="J17" s="10"/>
      <c r="K17" s="10"/>
      <c r="L17" s="10"/>
      <c r="M17" s="11"/>
      <c r="N17" s="11"/>
      <c r="O17" s="23"/>
      <c r="P17" s="18" t="str">
        <f aca="false">IF(B17="","",IF(N17&lt;&gt;"","Closed",IF(K17="","CAPA not set",IF(M17="","Open",IF(M17&lt;Dashboard!$C$5,"Overdue","Open")))))</f>
        <v/>
      </c>
      <c r="Q17" s="19" t="str">
        <f aca="false">IF(OR(B17="",N17=""),"",N17-B17)</f>
        <v/>
      </c>
    </row>
    <row r="18" customFormat="false" ht="15" hidden="false" customHeight="false" outlineLevel="0" collapsed="false">
      <c r="A18" s="18" t="str">
        <f aca="false">IF(B18="","","INC-"&amp;TEXT(ROW()-4,"000"))</f>
        <v/>
      </c>
      <c r="B18" s="11"/>
      <c r="C18" s="10"/>
      <c r="D18" s="10"/>
      <c r="E18" s="10"/>
      <c r="F18" s="23"/>
      <c r="G18" s="23"/>
      <c r="H18" s="10"/>
      <c r="I18" s="10"/>
      <c r="J18" s="10"/>
      <c r="K18" s="10"/>
      <c r="L18" s="10"/>
      <c r="M18" s="11"/>
      <c r="N18" s="11"/>
      <c r="O18" s="23"/>
      <c r="P18" s="18" t="str">
        <f aca="false">IF(B18="","",IF(N18&lt;&gt;"","Closed",IF(K18="","CAPA not set",IF(M18="","Open",IF(M18&lt;Dashboard!$C$5,"Overdue","Open")))))</f>
        <v/>
      </c>
      <c r="Q18" s="19" t="str">
        <f aca="false">IF(OR(B18="",N18=""),"",N18-B18)</f>
        <v/>
      </c>
    </row>
    <row r="19" customFormat="false" ht="15" hidden="false" customHeight="false" outlineLevel="0" collapsed="false">
      <c r="A19" s="18" t="str">
        <f aca="false">IF(B19="","","INC-"&amp;TEXT(ROW()-4,"000"))</f>
        <v/>
      </c>
      <c r="B19" s="11"/>
      <c r="C19" s="10"/>
      <c r="D19" s="10"/>
      <c r="E19" s="10"/>
      <c r="F19" s="23"/>
      <c r="G19" s="23"/>
      <c r="H19" s="10"/>
      <c r="I19" s="10"/>
      <c r="J19" s="10"/>
      <c r="K19" s="10"/>
      <c r="L19" s="10"/>
      <c r="M19" s="11"/>
      <c r="N19" s="11"/>
      <c r="O19" s="23"/>
      <c r="P19" s="18" t="str">
        <f aca="false">IF(B19="","",IF(N19&lt;&gt;"","Closed",IF(K19="","CAPA not set",IF(M19="","Open",IF(M19&lt;Dashboard!$C$5,"Overdue","Open")))))</f>
        <v/>
      </c>
      <c r="Q19" s="19" t="str">
        <f aca="false">IF(OR(B19="",N19=""),"",N19-B19)</f>
        <v/>
      </c>
    </row>
    <row r="20" customFormat="false" ht="15" hidden="false" customHeight="false" outlineLevel="0" collapsed="false">
      <c r="A20" s="18" t="str">
        <f aca="false">IF(B20="","","INC-"&amp;TEXT(ROW()-4,"000"))</f>
        <v/>
      </c>
      <c r="B20" s="11"/>
      <c r="C20" s="10"/>
      <c r="D20" s="10"/>
      <c r="E20" s="10"/>
      <c r="F20" s="23"/>
      <c r="G20" s="23"/>
      <c r="H20" s="10"/>
      <c r="I20" s="10"/>
      <c r="J20" s="10"/>
      <c r="K20" s="10"/>
      <c r="L20" s="10"/>
      <c r="M20" s="11"/>
      <c r="N20" s="11"/>
      <c r="O20" s="23"/>
      <c r="P20" s="18" t="str">
        <f aca="false">IF(B20="","",IF(N20&lt;&gt;"","Closed",IF(K20="","CAPA not set",IF(M20="","Open",IF(M20&lt;Dashboard!$C$5,"Overdue","Open")))))</f>
        <v/>
      </c>
      <c r="Q20" s="19" t="str">
        <f aca="false">IF(OR(B20="",N20=""),"",N20-B20)</f>
        <v/>
      </c>
    </row>
    <row r="21" customFormat="false" ht="15" hidden="false" customHeight="false" outlineLevel="0" collapsed="false">
      <c r="A21" s="18" t="str">
        <f aca="false">IF(B21="","","INC-"&amp;TEXT(ROW()-4,"000"))</f>
        <v/>
      </c>
      <c r="B21" s="11"/>
      <c r="C21" s="10"/>
      <c r="D21" s="10"/>
      <c r="E21" s="10"/>
      <c r="F21" s="23"/>
      <c r="G21" s="23"/>
      <c r="H21" s="10"/>
      <c r="I21" s="10"/>
      <c r="J21" s="10"/>
      <c r="K21" s="10"/>
      <c r="L21" s="10"/>
      <c r="M21" s="11"/>
      <c r="N21" s="11"/>
      <c r="O21" s="23"/>
      <c r="P21" s="18" t="str">
        <f aca="false">IF(B21="","",IF(N21&lt;&gt;"","Closed",IF(K21="","CAPA not set",IF(M21="","Open",IF(M21&lt;Dashboard!$C$5,"Overdue","Open")))))</f>
        <v/>
      </c>
      <c r="Q21" s="19" t="str">
        <f aca="false">IF(OR(B21="",N21=""),"",N21-B21)</f>
        <v/>
      </c>
    </row>
    <row r="22" customFormat="false" ht="15" hidden="false" customHeight="false" outlineLevel="0" collapsed="false">
      <c r="A22" s="18" t="str">
        <f aca="false">IF(B22="","","INC-"&amp;TEXT(ROW()-4,"000"))</f>
        <v/>
      </c>
      <c r="B22" s="11"/>
      <c r="C22" s="10"/>
      <c r="D22" s="10"/>
      <c r="E22" s="10"/>
      <c r="F22" s="23"/>
      <c r="G22" s="23"/>
      <c r="H22" s="10"/>
      <c r="I22" s="10"/>
      <c r="J22" s="10"/>
      <c r="K22" s="10"/>
      <c r="L22" s="10"/>
      <c r="M22" s="11"/>
      <c r="N22" s="11"/>
      <c r="O22" s="23"/>
      <c r="P22" s="18" t="str">
        <f aca="false">IF(B22="","",IF(N22&lt;&gt;"","Closed",IF(K22="","CAPA not set",IF(M22="","Open",IF(M22&lt;Dashboard!$C$5,"Overdue","Open")))))</f>
        <v/>
      </c>
      <c r="Q22" s="19" t="str">
        <f aca="false">IF(OR(B22="",N22=""),"",N22-B22)</f>
        <v/>
      </c>
    </row>
    <row r="23" customFormat="false" ht="15" hidden="false" customHeight="false" outlineLevel="0" collapsed="false">
      <c r="A23" s="18" t="str">
        <f aca="false">IF(B23="","","INC-"&amp;TEXT(ROW()-4,"000"))</f>
        <v/>
      </c>
      <c r="B23" s="11"/>
      <c r="C23" s="10"/>
      <c r="D23" s="10"/>
      <c r="E23" s="10"/>
      <c r="F23" s="23"/>
      <c r="G23" s="23"/>
      <c r="H23" s="10"/>
      <c r="I23" s="10"/>
      <c r="J23" s="10"/>
      <c r="K23" s="10"/>
      <c r="L23" s="10"/>
      <c r="M23" s="11"/>
      <c r="N23" s="11"/>
      <c r="O23" s="23"/>
      <c r="P23" s="18" t="str">
        <f aca="false">IF(B23="","",IF(N23&lt;&gt;"","Closed",IF(K23="","CAPA not set",IF(M23="","Open",IF(M23&lt;Dashboard!$C$5,"Overdue","Open")))))</f>
        <v/>
      </c>
      <c r="Q23" s="19" t="str">
        <f aca="false">IF(OR(B23="",N23=""),"",N23-B23)</f>
        <v/>
      </c>
    </row>
    <row r="24" customFormat="false" ht="15" hidden="false" customHeight="false" outlineLevel="0" collapsed="false">
      <c r="A24" s="18" t="str">
        <f aca="false">IF(B24="","","INC-"&amp;TEXT(ROW()-4,"000"))</f>
        <v/>
      </c>
      <c r="B24" s="11"/>
      <c r="C24" s="10"/>
      <c r="D24" s="10"/>
      <c r="E24" s="10"/>
      <c r="F24" s="23"/>
      <c r="G24" s="23"/>
      <c r="H24" s="10"/>
      <c r="I24" s="10"/>
      <c r="J24" s="10"/>
      <c r="K24" s="10"/>
      <c r="L24" s="10"/>
      <c r="M24" s="11"/>
      <c r="N24" s="11"/>
      <c r="O24" s="23"/>
      <c r="P24" s="18" t="str">
        <f aca="false">IF(B24="","",IF(N24&lt;&gt;"","Closed",IF(K24="","CAPA not set",IF(M24="","Open",IF(M24&lt;Dashboard!$C$5,"Overdue","Open")))))</f>
        <v/>
      </c>
      <c r="Q24" s="19" t="str">
        <f aca="false">IF(OR(B24="",N24=""),"",N24-B24)</f>
        <v/>
      </c>
    </row>
    <row r="25" customFormat="false" ht="15" hidden="false" customHeight="false" outlineLevel="0" collapsed="false">
      <c r="A25" s="18" t="str">
        <f aca="false">IF(B25="","","INC-"&amp;TEXT(ROW()-4,"000"))</f>
        <v/>
      </c>
      <c r="B25" s="11"/>
      <c r="C25" s="10"/>
      <c r="D25" s="10"/>
      <c r="E25" s="10"/>
      <c r="F25" s="23"/>
      <c r="G25" s="23"/>
      <c r="H25" s="10"/>
      <c r="I25" s="10"/>
      <c r="J25" s="10"/>
      <c r="K25" s="10"/>
      <c r="L25" s="10"/>
      <c r="M25" s="11"/>
      <c r="N25" s="11"/>
      <c r="O25" s="23"/>
      <c r="P25" s="18" t="str">
        <f aca="false">IF(B25="","",IF(N25&lt;&gt;"","Closed",IF(K25="","CAPA not set",IF(M25="","Open",IF(M25&lt;Dashboard!$C$5,"Overdue","Open")))))</f>
        <v/>
      </c>
      <c r="Q25" s="19" t="str">
        <f aca="false">IF(OR(B25="",N25=""),"",N25-B25)</f>
        <v/>
      </c>
    </row>
    <row r="26" customFormat="false" ht="15" hidden="false" customHeight="false" outlineLevel="0" collapsed="false">
      <c r="A26" s="18" t="str">
        <f aca="false">IF(B26="","","INC-"&amp;TEXT(ROW()-4,"000"))</f>
        <v/>
      </c>
      <c r="B26" s="11"/>
      <c r="C26" s="10"/>
      <c r="D26" s="10"/>
      <c r="E26" s="10"/>
      <c r="F26" s="23"/>
      <c r="G26" s="23"/>
      <c r="H26" s="10"/>
      <c r="I26" s="10"/>
      <c r="J26" s="10"/>
      <c r="K26" s="10"/>
      <c r="L26" s="10"/>
      <c r="M26" s="11"/>
      <c r="N26" s="11"/>
      <c r="O26" s="23"/>
      <c r="P26" s="18" t="str">
        <f aca="false">IF(B26="","",IF(N26&lt;&gt;"","Closed",IF(K26="","CAPA not set",IF(M26="","Open",IF(M26&lt;Dashboard!$C$5,"Overdue","Open")))))</f>
        <v/>
      </c>
      <c r="Q26" s="19" t="str">
        <f aca="false">IF(OR(B26="",N26=""),"",N26-B26)</f>
        <v/>
      </c>
    </row>
    <row r="27" customFormat="false" ht="15" hidden="false" customHeight="false" outlineLevel="0" collapsed="false">
      <c r="A27" s="18" t="str">
        <f aca="false">IF(B27="","","INC-"&amp;TEXT(ROW()-4,"000"))</f>
        <v/>
      </c>
      <c r="B27" s="11"/>
      <c r="C27" s="10"/>
      <c r="D27" s="10"/>
      <c r="E27" s="10"/>
      <c r="F27" s="23"/>
      <c r="G27" s="23"/>
      <c r="H27" s="10"/>
      <c r="I27" s="10"/>
      <c r="J27" s="10"/>
      <c r="K27" s="10"/>
      <c r="L27" s="10"/>
      <c r="M27" s="11"/>
      <c r="N27" s="11"/>
      <c r="O27" s="23"/>
      <c r="P27" s="18" t="str">
        <f aca="false">IF(B27="","",IF(N27&lt;&gt;"","Closed",IF(K27="","CAPA not set",IF(M27="","Open",IF(M27&lt;Dashboard!$C$5,"Overdue","Open")))))</f>
        <v/>
      </c>
      <c r="Q27" s="19" t="str">
        <f aca="false">IF(OR(B27="",N27=""),"",N27-B27)</f>
        <v/>
      </c>
    </row>
    <row r="28" customFormat="false" ht="15" hidden="false" customHeight="false" outlineLevel="0" collapsed="false">
      <c r="A28" s="18" t="str">
        <f aca="false">IF(B28="","","INC-"&amp;TEXT(ROW()-4,"000"))</f>
        <v/>
      </c>
      <c r="B28" s="11"/>
      <c r="C28" s="10"/>
      <c r="D28" s="10"/>
      <c r="E28" s="10"/>
      <c r="F28" s="23"/>
      <c r="G28" s="23"/>
      <c r="H28" s="10"/>
      <c r="I28" s="10"/>
      <c r="J28" s="10"/>
      <c r="K28" s="10"/>
      <c r="L28" s="10"/>
      <c r="M28" s="11"/>
      <c r="N28" s="11"/>
      <c r="O28" s="23"/>
      <c r="P28" s="18" t="str">
        <f aca="false">IF(B28="","",IF(N28&lt;&gt;"","Closed",IF(K28="","CAPA not set",IF(M28="","Open",IF(M28&lt;Dashboard!$C$5,"Overdue","Open")))))</f>
        <v/>
      </c>
      <c r="Q28" s="19" t="str">
        <f aca="false">IF(OR(B28="",N28=""),"",N28-B28)</f>
        <v/>
      </c>
    </row>
    <row r="29" customFormat="false" ht="15" hidden="false" customHeight="false" outlineLevel="0" collapsed="false">
      <c r="A29" s="18" t="str">
        <f aca="false">IF(B29="","","INC-"&amp;TEXT(ROW()-4,"000"))</f>
        <v/>
      </c>
      <c r="B29" s="11"/>
      <c r="C29" s="10"/>
      <c r="D29" s="10"/>
      <c r="E29" s="10"/>
      <c r="F29" s="23"/>
      <c r="G29" s="23"/>
      <c r="H29" s="10"/>
      <c r="I29" s="10"/>
      <c r="J29" s="10"/>
      <c r="K29" s="10"/>
      <c r="L29" s="10"/>
      <c r="M29" s="11"/>
      <c r="N29" s="11"/>
      <c r="O29" s="23"/>
      <c r="P29" s="18" t="str">
        <f aca="false">IF(B29="","",IF(N29&lt;&gt;"","Closed",IF(K29="","CAPA not set",IF(M29="","Open",IF(M29&lt;Dashboard!$C$5,"Overdue","Open")))))</f>
        <v/>
      </c>
      <c r="Q29" s="19" t="str">
        <f aca="false">IF(OR(B29="",N29=""),"",N29-B29)</f>
        <v/>
      </c>
    </row>
    <row r="30" customFormat="false" ht="15" hidden="false" customHeight="false" outlineLevel="0" collapsed="false">
      <c r="A30" s="18" t="str">
        <f aca="false">IF(B30="","","INC-"&amp;TEXT(ROW()-4,"000"))</f>
        <v/>
      </c>
      <c r="B30" s="11"/>
      <c r="C30" s="10"/>
      <c r="D30" s="10"/>
      <c r="E30" s="10"/>
      <c r="F30" s="23"/>
      <c r="G30" s="23"/>
      <c r="H30" s="10"/>
      <c r="I30" s="10"/>
      <c r="J30" s="10"/>
      <c r="K30" s="10"/>
      <c r="L30" s="10"/>
      <c r="M30" s="11"/>
      <c r="N30" s="11"/>
      <c r="O30" s="23"/>
      <c r="P30" s="18" t="str">
        <f aca="false">IF(B30="","",IF(N30&lt;&gt;"","Closed",IF(K30="","CAPA not set",IF(M30="","Open",IF(M30&lt;Dashboard!$C$5,"Overdue","Open")))))</f>
        <v/>
      </c>
      <c r="Q30" s="19" t="str">
        <f aca="false">IF(OR(B30="",N30=""),"",N30-B30)</f>
        <v/>
      </c>
    </row>
    <row r="31" customFormat="false" ht="15" hidden="false" customHeight="false" outlineLevel="0" collapsed="false">
      <c r="A31" s="18" t="str">
        <f aca="false">IF(B31="","","INC-"&amp;TEXT(ROW()-4,"000"))</f>
        <v/>
      </c>
      <c r="B31" s="11"/>
      <c r="C31" s="10"/>
      <c r="D31" s="10"/>
      <c r="E31" s="10"/>
      <c r="F31" s="23"/>
      <c r="G31" s="23"/>
      <c r="H31" s="10"/>
      <c r="I31" s="10"/>
      <c r="J31" s="10"/>
      <c r="K31" s="10"/>
      <c r="L31" s="10"/>
      <c r="M31" s="11"/>
      <c r="N31" s="11"/>
      <c r="O31" s="23"/>
      <c r="P31" s="18" t="str">
        <f aca="false">IF(B31="","",IF(N31&lt;&gt;"","Closed",IF(K31="","CAPA not set",IF(M31="","Open",IF(M31&lt;Dashboard!$C$5,"Overdue","Open")))))</f>
        <v/>
      </c>
      <c r="Q31" s="19" t="str">
        <f aca="false">IF(OR(B31="",N31=""),"",N31-B31)</f>
        <v/>
      </c>
    </row>
    <row r="32" customFormat="false" ht="15" hidden="false" customHeight="false" outlineLevel="0" collapsed="false">
      <c r="A32" s="18" t="str">
        <f aca="false">IF(B32="","","INC-"&amp;TEXT(ROW()-4,"000"))</f>
        <v/>
      </c>
      <c r="B32" s="11"/>
      <c r="C32" s="10"/>
      <c r="D32" s="10"/>
      <c r="E32" s="10"/>
      <c r="F32" s="23"/>
      <c r="G32" s="23"/>
      <c r="H32" s="10"/>
      <c r="I32" s="10"/>
      <c r="J32" s="10"/>
      <c r="K32" s="10"/>
      <c r="L32" s="10"/>
      <c r="M32" s="11"/>
      <c r="N32" s="11"/>
      <c r="O32" s="23"/>
      <c r="P32" s="18" t="str">
        <f aca="false">IF(B32="","",IF(N32&lt;&gt;"","Closed",IF(K32="","CAPA not set",IF(M32="","Open",IF(M32&lt;Dashboard!$C$5,"Overdue","Open")))))</f>
        <v/>
      </c>
      <c r="Q32" s="19" t="str">
        <f aca="false">IF(OR(B32="",N32=""),"",N32-B32)</f>
        <v/>
      </c>
    </row>
    <row r="33" customFormat="false" ht="15" hidden="false" customHeight="false" outlineLevel="0" collapsed="false">
      <c r="A33" s="18" t="str">
        <f aca="false">IF(B33="","","INC-"&amp;TEXT(ROW()-4,"000"))</f>
        <v/>
      </c>
      <c r="B33" s="11"/>
      <c r="C33" s="10"/>
      <c r="D33" s="10"/>
      <c r="E33" s="10"/>
      <c r="F33" s="23"/>
      <c r="G33" s="23"/>
      <c r="H33" s="10"/>
      <c r="I33" s="10"/>
      <c r="J33" s="10"/>
      <c r="K33" s="10"/>
      <c r="L33" s="10"/>
      <c r="M33" s="11"/>
      <c r="N33" s="11"/>
      <c r="O33" s="23"/>
      <c r="P33" s="18" t="str">
        <f aca="false">IF(B33="","",IF(N33&lt;&gt;"","Closed",IF(K33="","CAPA not set",IF(M33="","Open",IF(M33&lt;Dashboard!$C$5,"Overdue","Open")))))</f>
        <v/>
      </c>
      <c r="Q33" s="19" t="str">
        <f aca="false">IF(OR(B33="",N33=""),"",N33-B33)</f>
        <v/>
      </c>
    </row>
    <row r="34" customFormat="false" ht="15" hidden="false" customHeight="false" outlineLevel="0" collapsed="false">
      <c r="A34" s="18" t="str">
        <f aca="false">IF(B34="","","INC-"&amp;TEXT(ROW()-4,"000"))</f>
        <v/>
      </c>
      <c r="B34" s="11"/>
      <c r="C34" s="10"/>
      <c r="D34" s="10"/>
      <c r="E34" s="10"/>
      <c r="F34" s="23"/>
      <c r="G34" s="23"/>
      <c r="H34" s="10"/>
      <c r="I34" s="10"/>
      <c r="J34" s="10"/>
      <c r="K34" s="10"/>
      <c r="L34" s="10"/>
      <c r="M34" s="11"/>
      <c r="N34" s="11"/>
      <c r="O34" s="23"/>
      <c r="P34" s="18" t="str">
        <f aca="false">IF(B34="","",IF(N34&lt;&gt;"","Closed",IF(K34="","CAPA not set",IF(M34="","Open",IF(M34&lt;Dashboard!$C$5,"Overdue","Open")))))</f>
        <v/>
      </c>
      <c r="Q34" s="19" t="str">
        <f aca="false">IF(OR(B34="",N34=""),"",N34-B34)</f>
        <v/>
      </c>
    </row>
    <row r="35" customFormat="false" ht="15" hidden="false" customHeight="false" outlineLevel="0" collapsed="false">
      <c r="A35" s="18" t="str">
        <f aca="false">IF(B35="","","INC-"&amp;TEXT(ROW()-4,"000"))</f>
        <v/>
      </c>
      <c r="B35" s="11"/>
      <c r="C35" s="10"/>
      <c r="D35" s="10"/>
      <c r="E35" s="10"/>
      <c r="F35" s="23"/>
      <c r="G35" s="23"/>
      <c r="H35" s="10"/>
      <c r="I35" s="10"/>
      <c r="J35" s="10"/>
      <c r="K35" s="10"/>
      <c r="L35" s="10"/>
      <c r="M35" s="11"/>
      <c r="N35" s="11"/>
      <c r="O35" s="23"/>
      <c r="P35" s="18" t="str">
        <f aca="false">IF(B35="","",IF(N35&lt;&gt;"","Closed",IF(K35="","CAPA not set",IF(M35="","Open",IF(M35&lt;Dashboard!$C$5,"Overdue","Open")))))</f>
        <v/>
      </c>
      <c r="Q35" s="19" t="str">
        <f aca="false">IF(OR(B35="",N35=""),"",N35-B35)</f>
        <v/>
      </c>
    </row>
    <row r="36" customFormat="false" ht="15" hidden="false" customHeight="false" outlineLevel="0" collapsed="false">
      <c r="A36" s="18" t="str">
        <f aca="false">IF(B36="","","INC-"&amp;TEXT(ROW()-4,"000"))</f>
        <v/>
      </c>
      <c r="B36" s="11"/>
      <c r="C36" s="10"/>
      <c r="D36" s="10"/>
      <c r="E36" s="10"/>
      <c r="F36" s="23"/>
      <c r="G36" s="23"/>
      <c r="H36" s="10"/>
      <c r="I36" s="10"/>
      <c r="J36" s="10"/>
      <c r="K36" s="10"/>
      <c r="L36" s="10"/>
      <c r="M36" s="11"/>
      <c r="N36" s="11"/>
      <c r="O36" s="23"/>
      <c r="P36" s="18" t="str">
        <f aca="false">IF(B36="","",IF(N36&lt;&gt;"","Closed",IF(K36="","CAPA not set",IF(M36="","Open",IF(M36&lt;Dashboard!$C$5,"Overdue","Open")))))</f>
        <v/>
      </c>
      <c r="Q36" s="19" t="str">
        <f aca="false">IF(OR(B36="",N36=""),"",N36-B36)</f>
        <v/>
      </c>
    </row>
    <row r="37" customFormat="false" ht="15" hidden="false" customHeight="false" outlineLevel="0" collapsed="false">
      <c r="A37" s="18" t="str">
        <f aca="false">IF(B37="","","INC-"&amp;TEXT(ROW()-4,"000"))</f>
        <v/>
      </c>
      <c r="B37" s="11"/>
      <c r="C37" s="10"/>
      <c r="D37" s="10"/>
      <c r="E37" s="10"/>
      <c r="F37" s="23"/>
      <c r="G37" s="23"/>
      <c r="H37" s="10"/>
      <c r="I37" s="10"/>
      <c r="J37" s="10"/>
      <c r="K37" s="10"/>
      <c r="L37" s="10"/>
      <c r="M37" s="11"/>
      <c r="N37" s="11"/>
      <c r="O37" s="23"/>
      <c r="P37" s="18" t="str">
        <f aca="false">IF(B37="","",IF(N37&lt;&gt;"","Closed",IF(K37="","CAPA not set",IF(M37="","Open",IF(M37&lt;Dashboard!$C$5,"Overdue","Open")))))</f>
        <v/>
      </c>
      <c r="Q37" s="19" t="str">
        <f aca="false">IF(OR(B37="",N37=""),"",N37-B37)</f>
        <v/>
      </c>
    </row>
    <row r="38" customFormat="false" ht="15" hidden="false" customHeight="false" outlineLevel="0" collapsed="false">
      <c r="A38" s="18" t="str">
        <f aca="false">IF(B38="","","INC-"&amp;TEXT(ROW()-4,"000"))</f>
        <v/>
      </c>
      <c r="B38" s="11"/>
      <c r="C38" s="10"/>
      <c r="D38" s="10"/>
      <c r="E38" s="10"/>
      <c r="F38" s="23"/>
      <c r="G38" s="23"/>
      <c r="H38" s="10"/>
      <c r="I38" s="10"/>
      <c r="J38" s="10"/>
      <c r="K38" s="10"/>
      <c r="L38" s="10"/>
      <c r="M38" s="11"/>
      <c r="N38" s="11"/>
      <c r="O38" s="23"/>
      <c r="P38" s="18" t="str">
        <f aca="false">IF(B38="","",IF(N38&lt;&gt;"","Closed",IF(K38="","CAPA not set",IF(M38="","Open",IF(M38&lt;Dashboard!$C$5,"Overdue","Open")))))</f>
        <v/>
      </c>
      <c r="Q38" s="19" t="str">
        <f aca="false">IF(OR(B38="",N38=""),"",N38-B38)</f>
        <v/>
      </c>
    </row>
    <row r="39" customFormat="false" ht="15" hidden="false" customHeight="false" outlineLevel="0" collapsed="false">
      <c r="A39" s="18" t="str">
        <f aca="false">IF(B39="","","INC-"&amp;TEXT(ROW()-4,"000"))</f>
        <v/>
      </c>
      <c r="B39" s="11"/>
      <c r="C39" s="10"/>
      <c r="D39" s="10"/>
      <c r="E39" s="10"/>
      <c r="F39" s="23"/>
      <c r="G39" s="23"/>
      <c r="H39" s="10"/>
      <c r="I39" s="10"/>
      <c r="J39" s="10"/>
      <c r="K39" s="10"/>
      <c r="L39" s="10"/>
      <c r="M39" s="11"/>
      <c r="N39" s="11"/>
      <c r="O39" s="23"/>
      <c r="P39" s="18" t="str">
        <f aca="false">IF(B39="","",IF(N39&lt;&gt;"","Closed",IF(K39="","CAPA not set",IF(M39="","Open",IF(M39&lt;Dashboard!$C$5,"Overdue","Open")))))</f>
        <v/>
      </c>
      <c r="Q39" s="19" t="str">
        <f aca="false">IF(OR(B39="",N39=""),"",N39-B39)</f>
        <v/>
      </c>
    </row>
    <row r="40" customFormat="false" ht="15" hidden="false" customHeight="false" outlineLevel="0" collapsed="false">
      <c r="A40" s="18" t="str">
        <f aca="false">IF(B40="","","INC-"&amp;TEXT(ROW()-4,"000"))</f>
        <v/>
      </c>
      <c r="B40" s="11"/>
      <c r="C40" s="10"/>
      <c r="D40" s="10"/>
      <c r="E40" s="10"/>
      <c r="F40" s="23"/>
      <c r="G40" s="23"/>
      <c r="H40" s="10"/>
      <c r="I40" s="10"/>
      <c r="J40" s="10"/>
      <c r="K40" s="10"/>
      <c r="L40" s="10"/>
      <c r="M40" s="11"/>
      <c r="N40" s="11"/>
      <c r="O40" s="23"/>
      <c r="P40" s="18" t="str">
        <f aca="false">IF(B40="","",IF(N40&lt;&gt;"","Closed",IF(K40="","CAPA not set",IF(M40="","Open",IF(M40&lt;Dashboard!$C$5,"Overdue","Open")))))</f>
        <v/>
      </c>
      <c r="Q40" s="19" t="str">
        <f aca="false">IF(OR(B40="",N40=""),"",N40-B40)</f>
        <v/>
      </c>
    </row>
    <row r="41" customFormat="false" ht="15" hidden="false" customHeight="false" outlineLevel="0" collapsed="false">
      <c r="A41" s="18" t="str">
        <f aca="false">IF(B41="","","INC-"&amp;TEXT(ROW()-4,"000"))</f>
        <v/>
      </c>
      <c r="B41" s="11"/>
      <c r="C41" s="10"/>
      <c r="D41" s="10"/>
      <c r="E41" s="10"/>
      <c r="F41" s="23"/>
      <c r="G41" s="23"/>
      <c r="H41" s="10"/>
      <c r="I41" s="10"/>
      <c r="J41" s="10"/>
      <c r="K41" s="10"/>
      <c r="L41" s="10"/>
      <c r="M41" s="11"/>
      <c r="N41" s="11"/>
      <c r="O41" s="23"/>
      <c r="P41" s="18" t="str">
        <f aca="false">IF(B41="","",IF(N41&lt;&gt;"","Closed",IF(K41="","CAPA not set",IF(M41="","Open",IF(M41&lt;Dashboard!$C$5,"Overdue","Open")))))</f>
        <v/>
      </c>
      <c r="Q41" s="19" t="str">
        <f aca="false">IF(OR(B41="",N41=""),"",N41-B41)</f>
        <v/>
      </c>
    </row>
    <row r="42" customFormat="false" ht="15" hidden="false" customHeight="false" outlineLevel="0" collapsed="false">
      <c r="A42" s="18" t="str">
        <f aca="false">IF(B42="","","INC-"&amp;TEXT(ROW()-4,"000"))</f>
        <v/>
      </c>
      <c r="B42" s="11"/>
      <c r="C42" s="10"/>
      <c r="D42" s="10"/>
      <c r="E42" s="10"/>
      <c r="F42" s="23"/>
      <c r="G42" s="23"/>
      <c r="H42" s="10"/>
      <c r="I42" s="10"/>
      <c r="J42" s="10"/>
      <c r="K42" s="10"/>
      <c r="L42" s="10"/>
      <c r="M42" s="11"/>
      <c r="N42" s="11"/>
      <c r="O42" s="23"/>
      <c r="P42" s="18" t="str">
        <f aca="false">IF(B42="","",IF(N42&lt;&gt;"","Closed",IF(K42="","CAPA not set",IF(M42="","Open",IF(M42&lt;Dashboard!$C$5,"Overdue","Open")))))</f>
        <v/>
      </c>
      <c r="Q42" s="19" t="str">
        <f aca="false">IF(OR(B42="",N42=""),"",N42-B42)</f>
        <v/>
      </c>
    </row>
    <row r="43" customFormat="false" ht="15" hidden="false" customHeight="false" outlineLevel="0" collapsed="false">
      <c r="A43" s="18" t="str">
        <f aca="false">IF(B43="","","INC-"&amp;TEXT(ROW()-4,"000"))</f>
        <v/>
      </c>
      <c r="B43" s="11"/>
      <c r="C43" s="10"/>
      <c r="D43" s="10"/>
      <c r="E43" s="10"/>
      <c r="F43" s="23"/>
      <c r="G43" s="23"/>
      <c r="H43" s="10"/>
      <c r="I43" s="10"/>
      <c r="J43" s="10"/>
      <c r="K43" s="10"/>
      <c r="L43" s="10"/>
      <c r="M43" s="11"/>
      <c r="N43" s="11"/>
      <c r="O43" s="23"/>
      <c r="P43" s="18" t="str">
        <f aca="false">IF(B43="","",IF(N43&lt;&gt;"","Closed",IF(K43="","CAPA not set",IF(M43="","Open",IF(M43&lt;Dashboard!$C$5,"Overdue","Open")))))</f>
        <v/>
      </c>
      <c r="Q43" s="19" t="str">
        <f aca="false">IF(OR(B43="",N43=""),"",N43-B43)</f>
        <v/>
      </c>
    </row>
    <row r="44" customFormat="false" ht="15" hidden="false" customHeight="false" outlineLevel="0" collapsed="false">
      <c r="A44" s="18" t="str">
        <f aca="false">IF(B44="","","INC-"&amp;TEXT(ROW()-4,"000"))</f>
        <v/>
      </c>
      <c r="B44" s="11"/>
      <c r="C44" s="10"/>
      <c r="D44" s="10"/>
      <c r="E44" s="10"/>
      <c r="F44" s="23"/>
      <c r="G44" s="23"/>
      <c r="H44" s="10"/>
      <c r="I44" s="10"/>
      <c r="J44" s="10"/>
      <c r="K44" s="10"/>
      <c r="L44" s="10"/>
      <c r="M44" s="11"/>
      <c r="N44" s="11"/>
      <c r="O44" s="23"/>
      <c r="P44" s="18" t="str">
        <f aca="false">IF(B44="","",IF(N44&lt;&gt;"","Closed",IF(K44="","CAPA not set",IF(M44="","Open",IF(M44&lt;Dashboard!$C$5,"Overdue","Open")))))</f>
        <v/>
      </c>
      <c r="Q44" s="19" t="str">
        <f aca="false">IF(OR(B44="",N44=""),"",N44-B44)</f>
        <v/>
      </c>
    </row>
    <row r="45" customFormat="false" ht="15" hidden="false" customHeight="false" outlineLevel="0" collapsed="false">
      <c r="A45" s="18" t="str">
        <f aca="false">IF(B45="","","INC-"&amp;TEXT(ROW()-4,"000"))</f>
        <v/>
      </c>
      <c r="B45" s="11"/>
      <c r="C45" s="10"/>
      <c r="D45" s="10"/>
      <c r="E45" s="10"/>
      <c r="F45" s="23"/>
      <c r="G45" s="23"/>
      <c r="H45" s="10"/>
      <c r="I45" s="10"/>
      <c r="J45" s="10"/>
      <c r="K45" s="10"/>
      <c r="L45" s="10"/>
      <c r="M45" s="11"/>
      <c r="N45" s="11"/>
      <c r="O45" s="23"/>
      <c r="P45" s="18" t="str">
        <f aca="false">IF(B45="","",IF(N45&lt;&gt;"","Closed",IF(K45="","CAPA not set",IF(M45="","Open",IF(M45&lt;Dashboard!$C$5,"Overdue","Open")))))</f>
        <v/>
      </c>
      <c r="Q45" s="19" t="str">
        <f aca="false">IF(OR(B45="",N45=""),"",N45-B45)</f>
        <v/>
      </c>
    </row>
    <row r="46" customFormat="false" ht="15" hidden="false" customHeight="false" outlineLevel="0" collapsed="false">
      <c r="A46" s="18" t="str">
        <f aca="false">IF(B46="","","INC-"&amp;TEXT(ROW()-4,"000"))</f>
        <v/>
      </c>
      <c r="B46" s="11"/>
      <c r="C46" s="10"/>
      <c r="D46" s="10"/>
      <c r="E46" s="10"/>
      <c r="F46" s="23"/>
      <c r="G46" s="23"/>
      <c r="H46" s="10"/>
      <c r="I46" s="10"/>
      <c r="J46" s="10"/>
      <c r="K46" s="10"/>
      <c r="L46" s="10"/>
      <c r="M46" s="11"/>
      <c r="N46" s="11"/>
      <c r="O46" s="23"/>
      <c r="P46" s="18" t="str">
        <f aca="false">IF(B46="","",IF(N46&lt;&gt;"","Closed",IF(K46="","CAPA not set",IF(M46="","Open",IF(M46&lt;Dashboard!$C$5,"Overdue","Open")))))</f>
        <v/>
      </c>
      <c r="Q46" s="19" t="str">
        <f aca="false">IF(OR(B46="",N46=""),"",N46-B46)</f>
        <v/>
      </c>
    </row>
    <row r="47" customFormat="false" ht="15" hidden="false" customHeight="false" outlineLevel="0" collapsed="false">
      <c r="A47" s="18" t="str">
        <f aca="false">IF(B47="","","INC-"&amp;TEXT(ROW()-4,"000"))</f>
        <v/>
      </c>
      <c r="B47" s="11"/>
      <c r="C47" s="10"/>
      <c r="D47" s="10"/>
      <c r="E47" s="10"/>
      <c r="F47" s="23"/>
      <c r="G47" s="23"/>
      <c r="H47" s="10"/>
      <c r="I47" s="10"/>
      <c r="J47" s="10"/>
      <c r="K47" s="10"/>
      <c r="L47" s="10"/>
      <c r="M47" s="11"/>
      <c r="N47" s="11"/>
      <c r="O47" s="23"/>
      <c r="P47" s="18" t="str">
        <f aca="false">IF(B47="","",IF(N47&lt;&gt;"","Closed",IF(K47="","CAPA not set",IF(M47="","Open",IF(M47&lt;Dashboard!$C$5,"Overdue","Open")))))</f>
        <v/>
      </c>
      <c r="Q47" s="19" t="str">
        <f aca="false">IF(OR(B47="",N47=""),"",N47-B47)</f>
        <v/>
      </c>
    </row>
    <row r="48" customFormat="false" ht="15" hidden="false" customHeight="false" outlineLevel="0" collapsed="false">
      <c r="A48" s="18" t="str">
        <f aca="false">IF(B48="","","INC-"&amp;TEXT(ROW()-4,"000"))</f>
        <v/>
      </c>
      <c r="B48" s="11"/>
      <c r="C48" s="10"/>
      <c r="D48" s="10"/>
      <c r="E48" s="10"/>
      <c r="F48" s="23"/>
      <c r="G48" s="23"/>
      <c r="H48" s="10"/>
      <c r="I48" s="10"/>
      <c r="J48" s="10"/>
      <c r="K48" s="10"/>
      <c r="L48" s="10"/>
      <c r="M48" s="11"/>
      <c r="N48" s="11"/>
      <c r="O48" s="23"/>
      <c r="P48" s="18" t="str">
        <f aca="false">IF(B48="","",IF(N48&lt;&gt;"","Closed",IF(K48="","CAPA not set",IF(M48="","Open",IF(M48&lt;Dashboard!$C$5,"Overdue","Open")))))</f>
        <v/>
      </c>
      <c r="Q48" s="19" t="str">
        <f aca="false">IF(OR(B48="",N48=""),"",N48-B48)</f>
        <v/>
      </c>
    </row>
    <row r="49" customFormat="false" ht="15" hidden="false" customHeight="false" outlineLevel="0" collapsed="false">
      <c r="A49" s="18" t="str">
        <f aca="false">IF(B49="","","INC-"&amp;TEXT(ROW()-4,"000"))</f>
        <v/>
      </c>
      <c r="B49" s="11"/>
      <c r="C49" s="10"/>
      <c r="D49" s="10"/>
      <c r="E49" s="10"/>
      <c r="F49" s="23"/>
      <c r="G49" s="23"/>
      <c r="H49" s="10"/>
      <c r="I49" s="10"/>
      <c r="J49" s="10"/>
      <c r="K49" s="10"/>
      <c r="L49" s="10"/>
      <c r="M49" s="11"/>
      <c r="N49" s="11"/>
      <c r="O49" s="23"/>
      <c r="P49" s="18" t="str">
        <f aca="false">IF(B49="","",IF(N49&lt;&gt;"","Closed",IF(K49="","CAPA not set",IF(M49="","Open",IF(M49&lt;Dashboard!$C$5,"Overdue","Open")))))</f>
        <v/>
      </c>
      <c r="Q49" s="19" t="str">
        <f aca="false">IF(OR(B49="",N49=""),"",N49-B49)</f>
        <v/>
      </c>
    </row>
    <row r="50" customFormat="false" ht="15" hidden="false" customHeight="false" outlineLevel="0" collapsed="false">
      <c r="A50" s="18" t="str">
        <f aca="false">IF(B50="","","INC-"&amp;TEXT(ROW()-4,"000"))</f>
        <v/>
      </c>
      <c r="B50" s="11"/>
      <c r="C50" s="10"/>
      <c r="D50" s="10"/>
      <c r="E50" s="10"/>
      <c r="F50" s="23"/>
      <c r="G50" s="23"/>
      <c r="H50" s="10"/>
      <c r="I50" s="10"/>
      <c r="J50" s="10"/>
      <c r="K50" s="10"/>
      <c r="L50" s="10"/>
      <c r="M50" s="11"/>
      <c r="N50" s="11"/>
      <c r="O50" s="23"/>
      <c r="P50" s="18" t="str">
        <f aca="false">IF(B50="","",IF(N50&lt;&gt;"","Closed",IF(K50="","CAPA not set",IF(M50="","Open",IF(M50&lt;Dashboard!$C$5,"Overdue","Open")))))</f>
        <v/>
      </c>
      <c r="Q50" s="19" t="str">
        <f aca="false">IF(OR(B50="",N50=""),"",N50-B50)</f>
        <v/>
      </c>
    </row>
    <row r="51" customFormat="false" ht="15" hidden="false" customHeight="false" outlineLevel="0" collapsed="false">
      <c r="A51" s="18" t="str">
        <f aca="false">IF(B51="","","INC-"&amp;TEXT(ROW()-4,"000"))</f>
        <v/>
      </c>
      <c r="B51" s="11"/>
      <c r="C51" s="10"/>
      <c r="D51" s="10"/>
      <c r="E51" s="10"/>
      <c r="F51" s="23"/>
      <c r="G51" s="23"/>
      <c r="H51" s="10"/>
      <c r="I51" s="10"/>
      <c r="J51" s="10"/>
      <c r="K51" s="10"/>
      <c r="L51" s="10"/>
      <c r="M51" s="11"/>
      <c r="N51" s="11"/>
      <c r="O51" s="23"/>
      <c r="P51" s="18" t="str">
        <f aca="false">IF(B51="","",IF(N51&lt;&gt;"","Closed",IF(K51="","CAPA not set",IF(M51="","Open",IF(M51&lt;Dashboard!$C$5,"Overdue","Open")))))</f>
        <v/>
      </c>
      <c r="Q51" s="19" t="str">
        <f aca="false">IF(OR(B51="",N51=""),"",N51-B51)</f>
        <v/>
      </c>
    </row>
    <row r="52" customFormat="false" ht="15" hidden="false" customHeight="false" outlineLevel="0" collapsed="false">
      <c r="A52" s="18" t="str">
        <f aca="false">IF(B52="","","INC-"&amp;TEXT(ROW()-4,"000"))</f>
        <v/>
      </c>
      <c r="B52" s="11"/>
      <c r="C52" s="10"/>
      <c r="D52" s="10"/>
      <c r="E52" s="10"/>
      <c r="F52" s="23"/>
      <c r="G52" s="23"/>
      <c r="H52" s="10"/>
      <c r="I52" s="10"/>
      <c r="J52" s="10"/>
      <c r="K52" s="10"/>
      <c r="L52" s="10"/>
      <c r="M52" s="11"/>
      <c r="N52" s="11"/>
      <c r="O52" s="23"/>
      <c r="P52" s="18" t="str">
        <f aca="false">IF(B52="","",IF(N52&lt;&gt;"","Closed",IF(K52="","CAPA not set",IF(M52="","Open",IF(M52&lt;Dashboard!$C$5,"Overdue","Open")))))</f>
        <v/>
      </c>
      <c r="Q52" s="19" t="str">
        <f aca="false">IF(OR(B52="",N52=""),"",N52-B52)</f>
        <v/>
      </c>
    </row>
    <row r="53" customFormat="false" ht="15" hidden="false" customHeight="false" outlineLevel="0" collapsed="false">
      <c r="A53" s="18" t="str">
        <f aca="false">IF(B53="","","INC-"&amp;TEXT(ROW()-4,"000"))</f>
        <v/>
      </c>
      <c r="B53" s="11"/>
      <c r="C53" s="10"/>
      <c r="D53" s="10"/>
      <c r="E53" s="10"/>
      <c r="F53" s="23"/>
      <c r="G53" s="23"/>
      <c r="H53" s="10"/>
      <c r="I53" s="10"/>
      <c r="J53" s="10"/>
      <c r="K53" s="10"/>
      <c r="L53" s="10"/>
      <c r="M53" s="11"/>
      <c r="N53" s="11"/>
      <c r="O53" s="23"/>
      <c r="P53" s="18" t="str">
        <f aca="false">IF(B53="","",IF(N53&lt;&gt;"","Closed",IF(K53="","CAPA not set",IF(M53="","Open",IF(M53&lt;Dashboard!$C$5,"Overdue","Open")))))</f>
        <v/>
      </c>
      <c r="Q53" s="19" t="str">
        <f aca="false">IF(OR(B53="",N53=""),"",N53-B53)</f>
        <v/>
      </c>
    </row>
    <row r="54" customFormat="false" ht="15" hidden="false" customHeight="false" outlineLevel="0" collapsed="false">
      <c r="A54" s="18" t="str">
        <f aca="false">IF(B54="","","INC-"&amp;TEXT(ROW()-4,"000"))</f>
        <v/>
      </c>
      <c r="B54" s="11"/>
      <c r="C54" s="10"/>
      <c r="D54" s="10"/>
      <c r="E54" s="10"/>
      <c r="F54" s="23"/>
      <c r="G54" s="23"/>
      <c r="H54" s="10"/>
      <c r="I54" s="10"/>
      <c r="J54" s="10"/>
      <c r="K54" s="10"/>
      <c r="L54" s="10"/>
      <c r="M54" s="11"/>
      <c r="N54" s="11"/>
      <c r="O54" s="23"/>
      <c r="P54" s="18" t="str">
        <f aca="false">IF(B54="","",IF(N54&lt;&gt;"","Closed",IF(K54="","CAPA not set",IF(M54="","Open",IF(M54&lt;Dashboard!$C$5,"Overdue","Open")))))</f>
        <v/>
      </c>
      <c r="Q54" s="19" t="str">
        <f aca="false">IF(OR(B54="",N54=""),"",N54-B54)</f>
        <v/>
      </c>
    </row>
  </sheetData>
  <conditionalFormatting sqref="P5:P54">
    <cfRule type="cellIs" priority="2" operator="equal" aboveAverage="0" equalAverage="0" bottom="0" percent="0" rank="0" text="" dxfId="0">
      <formula>"Closed"</formula>
    </cfRule>
    <cfRule type="cellIs" priority="3" operator="equal" aboveAverage="0" equalAverage="0" bottom="0" percent="0" rank="0" text="" dxfId="1">
      <formula>"Open"</formula>
    </cfRule>
    <cfRule type="cellIs" priority="4" operator="equal" aboveAverage="0" equalAverage="0" bottom="0" percent="0" rank="0" text="" dxfId="1">
      <formula>"CAPA not set"</formula>
    </cfRule>
    <cfRule type="cellIs" priority="5" operator="equal" aboveAverage="0" equalAverage="0" bottom="0" percent="0" rank="0" text="" dxfId="2">
      <formula>"Overdue"</formula>
    </cfRule>
  </conditionalFormatting>
  <conditionalFormatting sqref="F5:F54">
    <cfRule type="cellIs" priority="6" operator="equal" aboveAverage="0" equalAverage="0" bottom="0" percent="0" rank="0" text="" dxfId="0">
      <formula>"Minor"</formula>
    </cfRule>
    <cfRule type="cellIs" priority="7" operator="equal" aboveAverage="0" equalAverage="0" bottom="0" percent="0" rank="0" text="" dxfId="1">
      <formula>"Moderate"</formula>
    </cfRule>
    <cfRule type="cellIs" priority="8" operator="equal" aboveAverage="0" equalAverage="0" bottom="0" percent="0" rank="0" text="" dxfId="2">
      <formula>"Major"</formula>
    </cfRule>
    <cfRule type="cellIs" priority="9" operator="equal" aboveAverage="0" equalAverage="0" bottom="0" percent="0" rank="0" text="" dxfId="3">
      <formula>"Critical"</formula>
    </cfRule>
  </conditionalFormatting>
  <dataValidations count="4">
    <dataValidation allowBlank="true" error="Please choose a value from the list." errorStyle="stop" errorTitle="Invalid entry" operator="between" showDropDown="false" showErrorMessage="false" showInputMessage="false" sqref="C5:C54" type="list">
      <formula1>Lists!$E$2:$E$9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F5:F54" type="list">
      <formula1>Lists!$F$2:$F$5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G5:G5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O5:O5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8"/>
  </cols>
  <sheetData>
    <row r="1" customFormat="false" ht="19.7" hidden="false" customHeight="false" outlineLevel="0" collapsed="false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313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12" t="s">
        <v>314</v>
      </c>
      <c r="B4" s="12" t="s">
        <v>315</v>
      </c>
      <c r="C4" s="12" t="s">
        <v>316</v>
      </c>
      <c r="D4" s="12" t="s">
        <v>317</v>
      </c>
      <c r="E4" s="12" t="s">
        <v>318</v>
      </c>
      <c r="F4" s="12" t="s">
        <v>319</v>
      </c>
      <c r="G4" s="12" t="s">
        <v>320</v>
      </c>
      <c r="H4" s="12" t="s">
        <v>321</v>
      </c>
      <c r="I4" s="12" t="s">
        <v>322</v>
      </c>
      <c r="J4" s="12" t="s">
        <v>323</v>
      </c>
      <c r="K4" s="12" t="s">
        <v>324</v>
      </c>
    </row>
    <row r="5" customFormat="false" ht="26.85" hidden="false" customHeight="false" outlineLevel="0" collapsed="false">
      <c r="A5" s="11" t="n">
        <v>46259</v>
      </c>
      <c r="B5" s="10" t="s">
        <v>325</v>
      </c>
      <c r="C5" s="10" t="s">
        <v>99</v>
      </c>
      <c r="D5" s="23" t="s">
        <v>110</v>
      </c>
      <c r="E5" s="11" t="n">
        <v>46259</v>
      </c>
      <c r="F5" s="20" t="n">
        <v>42</v>
      </c>
      <c r="G5" s="20" t="n">
        <v>42</v>
      </c>
      <c r="H5" s="30" t="n">
        <f aca="false">IF(OR(F5="",G5="",F5=0),"",G5/F5)</f>
        <v>1</v>
      </c>
      <c r="I5" s="32" t="n">
        <v>3.5</v>
      </c>
      <c r="J5" s="18" t="str">
        <f aca="false">IF(A5="","",IF(D5="Yes","Completed",IF(A5&lt;Dashboard!$C$5,"Missed","Scheduled")))</f>
        <v>Completed</v>
      </c>
      <c r="K5" s="10" t="s">
        <v>326</v>
      </c>
    </row>
    <row r="6" customFormat="false" ht="15" hidden="false" customHeight="false" outlineLevel="0" collapsed="false">
      <c r="A6" s="11"/>
      <c r="B6" s="10"/>
      <c r="C6" s="10"/>
      <c r="D6" s="23"/>
      <c r="E6" s="11"/>
      <c r="F6" s="20"/>
      <c r="G6" s="20"/>
      <c r="H6" s="30" t="str">
        <f aca="false">IF(OR(F6="",G6="",F6=0),"",G6/F6)</f>
        <v/>
      </c>
      <c r="I6" s="32"/>
      <c r="J6" s="18" t="str">
        <f aca="false">IF(A6="","",IF(D6="Yes","Completed",IF(A6&lt;Dashboard!$C$5,"Missed","Scheduled")))</f>
        <v/>
      </c>
      <c r="K6" s="10"/>
    </row>
    <row r="7" customFormat="false" ht="15" hidden="false" customHeight="false" outlineLevel="0" collapsed="false">
      <c r="A7" s="11"/>
      <c r="B7" s="10"/>
      <c r="C7" s="10"/>
      <c r="D7" s="23"/>
      <c r="E7" s="11"/>
      <c r="F7" s="20"/>
      <c r="G7" s="20"/>
      <c r="H7" s="30" t="str">
        <f aca="false">IF(OR(F7="",G7="",F7=0),"",G7/F7)</f>
        <v/>
      </c>
      <c r="I7" s="32"/>
      <c r="J7" s="18" t="str">
        <f aca="false">IF(A7="","",IF(D7="Yes","Completed",IF(A7&lt;Dashboard!$C$5,"Missed","Scheduled")))</f>
        <v/>
      </c>
      <c r="K7" s="10"/>
    </row>
    <row r="8" customFormat="false" ht="15" hidden="false" customHeight="false" outlineLevel="0" collapsed="false">
      <c r="A8" s="11"/>
      <c r="B8" s="10"/>
      <c r="C8" s="10"/>
      <c r="D8" s="23"/>
      <c r="E8" s="11"/>
      <c r="F8" s="20"/>
      <c r="G8" s="20"/>
      <c r="H8" s="30" t="str">
        <f aca="false">IF(OR(F8="",G8="",F8=0),"",G8/F8)</f>
        <v/>
      </c>
      <c r="I8" s="32"/>
      <c r="J8" s="18" t="str">
        <f aca="false">IF(A8="","",IF(D8="Yes","Completed",IF(A8&lt;Dashboard!$C$5,"Missed","Scheduled")))</f>
        <v/>
      </c>
      <c r="K8" s="10"/>
    </row>
    <row r="9" customFormat="false" ht="15" hidden="false" customHeight="false" outlineLevel="0" collapsed="false">
      <c r="A9" s="11"/>
      <c r="B9" s="10"/>
      <c r="C9" s="10"/>
      <c r="D9" s="23"/>
      <c r="E9" s="11"/>
      <c r="F9" s="20"/>
      <c r="G9" s="20"/>
      <c r="H9" s="30" t="str">
        <f aca="false">IF(OR(F9="",G9="",F9=0),"",G9/F9)</f>
        <v/>
      </c>
      <c r="I9" s="32"/>
      <c r="J9" s="18" t="str">
        <f aca="false">IF(A9="","",IF(D9="Yes","Completed",IF(A9&lt;Dashboard!$C$5,"Missed","Scheduled")))</f>
        <v/>
      </c>
      <c r="K9" s="10"/>
    </row>
    <row r="10" customFormat="false" ht="15" hidden="false" customHeight="false" outlineLevel="0" collapsed="false">
      <c r="A10" s="11"/>
      <c r="B10" s="10"/>
      <c r="C10" s="10"/>
      <c r="D10" s="23"/>
      <c r="E10" s="11"/>
      <c r="F10" s="20"/>
      <c r="G10" s="20"/>
      <c r="H10" s="30" t="str">
        <f aca="false">IF(OR(F10="",G10="",F10=0),"",G10/F10)</f>
        <v/>
      </c>
      <c r="I10" s="32"/>
      <c r="J10" s="18" t="str">
        <f aca="false">IF(A10="","",IF(D10="Yes","Completed",IF(A10&lt;Dashboard!$C$5,"Missed","Scheduled")))</f>
        <v/>
      </c>
      <c r="K10" s="10"/>
    </row>
    <row r="11" customFormat="false" ht="15" hidden="false" customHeight="false" outlineLevel="0" collapsed="false">
      <c r="A11" s="11"/>
      <c r="B11" s="10"/>
      <c r="C11" s="10"/>
      <c r="D11" s="23"/>
      <c r="E11" s="11"/>
      <c r="F11" s="20"/>
      <c r="G11" s="20"/>
      <c r="H11" s="30" t="str">
        <f aca="false">IF(OR(F11="",G11="",F11=0),"",G11/F11)</f>
        <v/>
      </c>
      <c r="I11" s="32"/>
      <c r="J11" s="18" t="str">
        <f aca="false">IF(A11="","",IF(D11="Yes","Completed",IF(A11&lt;Dashboard!$C$5,"Missed","Scheduled")))</f>
        <v/>
      </c>
      <c r="K11" s="10"/>
    </row>
    <row r="12" customFormat="false" ht="15" hidden="false" customHeight="false" outlineLevel="0" collapsed="false">
      <c r="A12" s="11"/>
      <c r="B12" s="10"/>
      <c r="C12" s="10"/>
      <c r="D12" s="23"/>
      <c r="E12" s="11"/>
      <c r="F12" s="20"/>
      <c r="G12" s="20"/>
      <c r="H12" s="30" t="str">
        <f aca="false">IF(OR(F12="",G12="",F12=0),"",G12/F12)</f>
        <v/>
      </c>
      <c r="I12" s="32"/>
      <c r="J12" s="18" t="str">
        <f aca="false">IF(A12="","",IF(D12="Yes","Completed",IF(A12&lt;Dashboard!$C$5,"Missed","Scheduled")))</f>
        <v/>
      </c>
      <c r="K12" s="10"/>
    </row>
    <row r="13" customFormat="false" ht="15" hidden="false" customHeight="false" outlineLevel="0" collapsed="false">
      <c r="A13" s="11"/>
      <c r="B13" s="10"/>
      <c r="C13" s="10"/>
      <c r="D13" s="23"/>
      <c r="E13" s="11"/>
      <c r="F13" s="20"/>
      <c r="G13" s="20"/>
      <c r="H13" s="30" t="str">
        <f aca="false">IF(OR(F13="",G13="",F13=0),"",G13/F13)</f>
        <v/>
      </c>
      <c r="I13" s="32"/>
      <c r="J13" s="18" t="str">
        <f aca="false">IF(A13="","",IF(D13="Yes","Completed",IF(A13&lt;Dashboard!$C$5,"Missed","Scheduled")))</f>
        <v/>
      </c>
      <c r="K13" s="10"/>
    </row>
    <row r="14" customFormat="false" ht="15" hidden="false" customHeight="false" outlineLevel="0" collapsed="false">
      <c r="A14" s="11"/>
      <c r="B14" s="10"/>
      <c r="C14" s="10"/>
      <c r="D14" s="23"/>
      <c r="E14" s="11"/>
      <c r="F14" s="20"/>
      <c r="G14" s="20"/>
      <c r="H14" s="30" t="str">
        <f aca="false">IF(OR(F14="",G14="",F14=0),"",G14/F14)</f>
        <v/>
      </c>
      <c r="I14" s="32"/>
      <c r="J14" s="18" t="str">
        <f aca="false">IF(A14="","",IF(D14="Yes","Completed",IF(A14&lt;Dashboard!$C$5,"Missed","Scheduled")))</f>
        <v/>
      </c>
      <c r="K14" s="10"/>
    </row>
    <row r="15" customFormat="false" ht="15" hidden="false" customHeight="false" outlineLevel="0" collapsed="false">
      <c r="A15" s="11"/>
      <c r="B15" s="10"/>
      <c r="C15" s="10"/>
      <c r="D15" s="23"/>
      <c r="E15" s="11"/>
      <c r="F15" s="20"/>
      <c r="G15" s="20"/>
      <c r="H15" s="30" t="str">
        <f aca="false">IF(OR(F15="",G15="",F15=0),"",G15/F15)</f>
        <v/>
      </c>
      <c r="I15" s="32"/>
      <c r="J15" s="18" t="str">
        <f aca="false">IF(A15="","",IF(D15="Yes","Completed",IF(A15&lt;Dashboard!$C$5,"Missed","Scheduled")))</f>
        <v/>
      </c>
      <c r="K15" s="10"/>
    </row>
    <row r="16" customFormat="false" ht="15" hidden="false" customHeight="false" outlineLevel="0" collapsed="false">
      <c r="A16" s="11"/>
      <c r="B16" s="10"/>
      <c r="C16" s="10"/>
      <c r="D16" s="23"/>
      <c r="E16" s="11"/>
      <c r="F16" s="20"/>
      <c r="G16" s="20"/>
      <c r="H16" s="30" t="str">
        <f aca="false">IF(OR(F16="",G16="",F16=0),"",G16/F16)</f>
        <v/>
      </c>
      <c r="I16" s="32"/>
      <c r="J16" s="18" t="str">
        <f aca="false">IF(A16="","",IF(D16="Yes","Completed",IF(A16&lt;Dashboard!$C$5,"Missed","Scheduled")))</f>
        <v/>
      </c>
      <c r="K16" s="10"/>
    </row>
    <row r="17" customFormat="false" ht="15" hidden="false" customHeight="false" outlineLevel="0" collapsed="false">
      <c r="A17" s="11"/>
      <c r="B17" s="10"/>
      <c r="C17" s="10"/>
      <c r="D17" s="23"/>
      <c r="E17" s="11"/>
      <c r="F17" s="20"/>
      <c r="G17" s="20"/>
      <c r="H17" s="30" t="str">
        <f aca="false">IF(OR(F17="",G17="",F17=0),"",G17/F17)</f>
        <v/>
      </c>
      <c r="I17" s="32"/>
      <c r="J17" s="18" t="str">
        <f aca="false">IF(A17="","",IF(D17="Yes","Completed",IF(A17&lt;Dashboard!$C$5,"Missed","Scheduled")))</f>
        <v/>
      </c>
      <c r="K17" s="10"/>
    </row>
    <row r="18" customFormat="false" ht="15" hidden="false" customHeight="false" outlineLevel="0" collapsed="false">
      <c r="A18" s="11"/>
      <c r="B18" s="10"/>
      <c r="C18" s="10"/>
      <c r="D18" s="23"/>
      <c r="E18" s="11"/>
      <c r="F18" s="20"/>
      <c r="G18" s="20"/>
      <c r="H18" s="30" t="str">
        <f aca="false">IF(OR(F18="",G18="",F18=0),"",G18/F18)</f>
        <v/>
      </c>
      <c r="I18" s="32"/>
      <c r="J18" s="18" t="str">
        <f aca="false">IF(A18="","",IF(D18="Yes","Completed",IF(A18&lt;Dashboard!$C$5,"Missed","Scheduled")))</f>
        <v/>
      </c>
      <c r="K18" s="10"/>
    </row>
    <row r="19" customFormat="false" ht="15" hidden="false" customHeight="false" outlineLevel="0" collapsed="false">
      <c r="A19" s="11"/>
      <c r="B19" s="10"/>
      <c r="C19" s="10"/>
      <c r="D19" s="23"/>
      <c r="E19" s="11"/>
      <c r="F19" s="20"/>
      <c r="G19" s="20"/>
      <c r="H19" s="30" t="str">
        <f aca="false">IF(OR(F19="",G19="",F19=0),"",G19/F19)</f>
        <v/>
      </c>
      <c r="I19" s="32"/>
      <c r="J19" s="18" t="str">
        <f aca="false">IF(A19="","",IF(D19="Yes","Completed",IF(A19&lt;Dashboard!$C$5,"Missed","Scheduled")))</f>
        <v/>
      </c>
      <c r="K19" s="10"/>
    </row>
    <row r="20" customFormat="false" ht="15" hidden="false" customHeight="false" outlineLevel="0" collapsed="false">
      <c r="A20" s="11"/>
      <c r="B20" s="10"/>
      <c r="C20" s="10"/>
      <c r="D20" s="23"/>
      <c r="E20" s="11"/>
      <c r="F20" s="20"/>
      <c r="G20" s="20"/>
      <c r="H20" s="30" t="str">
        <f aca="false">IF(OR(F20="",G20="",F20=0),"",G20/F20)</f>
        <v/>
      </c>
      <c r="I20" s="32"/>
      <c r="J20" s="18" t="str">
        <f aca="false">IF(A20="","",IF(D20="Yes","Completed",IF(A20&lt;Dashboard!$C$5,"Missed","Scheduled")))</f>
        <v/>
      </c>
      <c r="K20" s="10"/>
    </row>
    <row r="21" customFormat="false" ht="15" hidden="false" customHeight="false" outlineLevel="0" collapsed="false">
      <c r="A21" s="11"/>
      <c r="B21" s="10"/>
      <c r="C21" s="10"/>
      <c r="D21" s="23"/>
      <c r="E21" s="11"/>
      <c r="F21" s="20"/>
      <c r="G21" s="20"/>
      <c r="H21" s="30" t="str">
        <f aca="false">IF(OR(F21="",G21="",F21=0),"",G21/F21)</f>
        <v/>
      </c>
      <c r="I21" s="32"/>
      <c r="J21" s="18" t="str">
        <f aca="false">IF(A21="","",IF(D21="Yes","Completed",IF(A21&lt;Dashboard!$C$5,"Missed","Scheduled")))</f>
        <v/>
      </c>
      <c r="K21" s="10"/>
    </row>
    <row r="22" customFormat="false" ht="15" hidden="false" customHeight="false" outlineLevel="0" collapsed="false">
      <c r="A22" s="11"/>
      <c r="B22" s="10"/>
      <c r="C22" s="10"/>
      <c r="D22" s="23"/>
      <c r="E22" s="11"/>
      <c r="F22" s="20"/>
      <c r="G22" s="20"/>
      <c r="H22" s="30" t="str">
        <f aca="false">IF(OR(F22="",G22="",F22=0),"",G22/F22)</f>
        <v/>
      </c>
      <c r="I22" s="32"/>
      <c r="J22" s="18" t="str">
        <f aca="false">IF(A22="","",IF(D22="Yes","Completed",IF(A22&lt;Dashboard!$C$5,"Missed","Scheduled")))</f>
        <v/>
      </c>
      <c r="K22" s="10"/>
    </row>
    <row r="23" customFormat="false" ht="15" hidden="false" customHeight="false" outlineLevel="0" collapsed="false">
      <c r="A23" s="11"/>
      <c r="B23" s="10"/>
      <c r="C23" s="10"/>
      <c r="D23" s="23"/>
      <c r="E23" s="11"/>
      <c r="F23" s="20"/>
      <c r="G23" s="20"/>
      <c r="H23" s="30" t="str">
        <f aca="false">IF(OR(F23="",G23="",F23=0),"",G23/F23)</f>
        <v/>
      </c>
      <c r="I23" s="32"/>
      <c r="J23" s="18" t="str">
        <f aca="false">IF(A23="","",IF(D23="Yes","Completed",IF(A23&lt;Dashboard!$C$5,"Missed","Scheduled")))</f>
        <v/>
      </c>
      <c r="K23" s="10"/>
    </row>
    <row r="24" customFormat="false" ht="15" hidden="false" customHeight="false" outlineLevel="0" collapsed="false">
      <c r="A24" s="11"/>
      <c r="B24" s="10"/>
      <c r="C24" s="10"/>
      <c r="D24" s="23"/>
      <c r="E24" s="11"/>
      <c r="F24" s="20"/>
      <c r="G24" s="20"/>
      <c r="H24" s="30" t="str">
        <f aca="false">IF(OR(F24="",G24="",F24=0),"",G24/F24)</f>
        <v/>
      </c>
      <c r="I24" s="32"/>
      <c r="J24" s="18" t="str">
        <f aca="false">IF(A24="","",IF(D24="Yes","Completed",IF(A24&lt;Dashboard!$C$5,"Missed","Scheduled")))</f>
        <v/>
      </c>
      <c r="K24" s="10"/>
    </row>
    <row r="25" customFormat="false" ht="15" hidden="false" customHeight="false" outlineLevel="0" collapsed="false">
      <c r="A25" s="11"/>
      <c r="B25" s="10"/>
      <c r="C25" s="10"/>
      <c r="D25" s="23"/>
      <c r="E25" s="11"/>
      <c r="F25" s="20"/>
      <c r="G25" s="20"/>
      <c r="H25" s="30" t="str">
        <f aca="false">IF(OR(F25="",G25="",F25=0),"",G25/F25)</f>
        <v/>
      </c>
      <c r="I25" s="32"/>
      <c r="J25" s="18" t="str">
        <f aca="false">IF(A25="","",IF(D25="Yes","Completed",IF(A25&lt;Dashboard!$C$5,"Missed","Scheduled")))</f>
        <v/>
      </c>
      <c r="K25" s="10"/>
    </row>
    <row r="26" customFormat="false" ht="15" hidden="false" customHeight="false" outlineLevel="0" collapsed="false">
      <c r="A26" s="11"/>
      <c r="B26" s="10"/>
      <c r="C26" s="10"/>
      <c r="D26" s="23"/>
      <c r="E26" s="11"/>
      <c r="F26" s="20"/>
      <c r="G26" s="20"/>
      <c r="H26" s="30" t="str">
        <f aca="false">IF(OR(F26="",G26="",F26=0),"",G26/F26)</f>
        <v/>
      </c>
      <c r="I26" s="32"/>
      <c r="J26" s="18" t="str">
        <f aca="false">IF(A26="","",IF(D26="Yes","Completed",IF(A26&lt;Dashboard!$C$5,"Missed","Scheduled")))</f>
        <v/>
      </c>
      <c r="K26" s="10"/>
    </row>
    <row r="27" customFormat="false" ht="15" hidden="false" customHeight="false" outlineLevel="0" collapsed="false">
      <c r="A27" s="11"/>
      <c r="B27" s="10"/>
      <c r="C27" s="10"/>
      <c r="D27" s="23"/>
      <c r="E27" s="11"/>
      <c r="F27" s="20"/>
      <c r="G27" s="20"/>
      <c r="H27" s="30" t="str">
        <f aca="false">IF(OR(F27="",G27="",F27=0),"",G27/F27)</f>
        <v/>
      </c>
      <c r="I27" s="32"/>
      <c r="J27" s="18" t="str">
        <f aca="false">IF(A27="","",IF(D27="Yes","Completed",IF(A27&lt;Dashboard!$C$5,"Missed","Scheduled")))</f>
        <v/>
      </c>
      <c r="K27" s="10"/>
    </row>
    <row r="28" customFormat="false" ht="15" hidden="false" customHeight="false" outlineLevel="0" collapsed="false">
      <c r="A28" s="11"/>
      <c r="B28" s="10"/>
      <c r="C28" s="10"/>
      <c r="D28" s="23"/>
      <c r="E28" s="11"/>
      <c r="F28" s="20"/>
      <c r="G28" s="20"/>
      <c r="H28" s="30" t="str">
        <f aca="false">IF(OR(F28="",G28="",F28=0),"",G28/F28)</f>
        <v/>
      </c>
      <c r="I28" s="32"/>
      <c r="J28" s="18" t="str">
        <f aca="false">IF(A28="","",IF(D28="Yes","Completed",IF(A28&lt;Dashboard!$C$5,"Missed","Scheduled")))</f>
        <v/>
      </c>
      <c r="K28" s="10"/>
    </row>
    <row r="29" customFormat="false" ht="15" hidden="false" customHeight="false" outlineLevel="0" collapsed="false">
      <c r="A29" s="11"/>
      <c r="B29" s="10"/>
      <c r="C29" s="10"/>
      <c r="D29" s="23"/>
      <c r="E29" s="11"/>
      <c r="F29" s="20"/>
      <c r="G29" s="20"/>
      <c r="H29" s="30" t="str">
        <f aca="false">IF(OR(F29="",G29="",F29=0),"",G29/F29)</f>
        <v/>
      </c>
      <c r="I29" s="32"/>
      <c r="J29" s="18" t="str">
        <f aca="false">IF(A29="","",IF(D29="Yes","Completed",IF(A29&lt;Dashboard!$C$5,"Missed","Scheduled")))</f>
        <v/>
      </c>
      <c r="K29" s="10"/>
    </row>
    <row r="30" customFormat="false" ht="15" hidden="false" customHeight="false" outlineLevel="0" collapsed="false">
      <c r="A30" s="11"/>
      <c r="B30" s="10"/>
      <c r="C30" s="10"/>
      <c r="D30" s="23"/>
      <c r="E30" s="11"/>
      <c r="F30" s="20"/>
      <c r="G30" s="20"/>
      <c r="H30" s="30" t="str">
        <f aca="false">IF(OR(F30="",G30="",F30=0),"",G30/F30)</f>
        <v/>
      </c>
      <c r="I30" s="32"/>
      <c r="J30" s="18" t="str">
        <f aca="false">IF(A30="","",IF(D30="Yes","Completed",IF(A30&lt;Dashboard!$C$5,"Missed","Scheduled")))</f>
        <v/>
      </c>
      <c r="K30" s="10"/>
    </row>
    <row r="31" customFormat="false" ht="15" hidden="false" customHeight="false" outlineLevel="0" collapsed="false">
      <c r="A31" s="11"/>
      <c r="B31" s="10"/>
      <c r="C31" s="10"/>
      <c r="D31" s="23"/>
      <c r="E31" s="11"/>
      <c r="F31" s="20"/>
      <c r="G31" s="20"/>
      <c r="H31" s="30" t="str">
        <f aca="false">IF(OR(F31="",G31="",F31=0),"",G31/F31)</f>
        <v/>
      </c>
      <c r="I31" s="32"/>
      <c r="J31" s="18" t="str">
        <f aca="false">IF(A31="","",IF(D31="Yes","Completed",IF(A31&lt;Dashboard!$C$5,"Missed","Scheduled")))</f>
        <v/>
      </c>
      <c r="K31" s="10"/>
    </row>
    <row r="32" customFormat="false" ht="15" hidden="false" customHeight="false" outlineLevel="0" collapsed="false">
      <c r="A32" s="11"/>
      <c r="B32" s="10"/>
      <c r="C32" s="10"/>
      <c r="D32" s="23"/>
      <c r="E32" s="11"/>
      <c r="F32" s="20"/>
      <c r="G32" s="20"/>
      <c r="H32" s="30" t="str">
        <f aca="false">IF(OR(F32="",G32="",F32=0),"",G32/F32)</f>
        <v/>
      </c>
      <c r="I32" s="32"/>
      <c r="J32" s="18" t="str">
        <f aca="false">IF(A32="","",IF(D32="Yes","Completed",IF(A32&lt;Dashboard!$C$5,"Missed","Scheduled")))</f>
        <v/>
      </c>
      <c r="K32" s="10"/>
    </row>
    <row r="33" customFormat="false" ht="15" hidden="false" customHeight="false" outlineLevel="0" collapsed="false">
      <c r="A33" s="11"/>
      <c r="B33" s="10"/>
      <c r="C33" s="10"/>
      <c r="D33" s="23"/>
      <c r="E33" s="11"/>
      <c r="F33" s="20"/>
      <c r="G33" s="20"/>
      <c r="H33" s="30" t="str">
        <f aca="false">IF(OR(F33="",G33="",F33=0),"",G33/F33)</f>
        <v/>
      </c>
      <c r="I33" s="32"/>
      <c r="J33" s="18" t="str">
        <f aca="false">IF(A33="","",IF(D33="Yes","Completed",IF(A33&lt;Dashboard!$C$5,"Missed","Scheduled")))</f>
        <v/>
      </c>
      <c r="K33" s="10"/>
    </row>
    <row r="34" customFormat="false" ht="15" hidden="false" customHeight="false" outlineLevel="0" collapsed="false">
      <c r="A34" s="11"/>
      <c r="B34" s="10"/>
      <c r="C34" s="10"/>
      <c r="D34" s="23"/>
      <c r="E34" s="11"/>
      <c r="F34" s="20"/>
      <c r="G34" s="20"/>
      <c r="H34" s="30" t="str">
        <f aca="false">IF(OR(F34="",G34="",F34=0),"",G34/F34)</f>
        <v/>
      </c>
      <c r="I34" s="32"/>
      <c r="J34" s="18" t="str">
        <f aca="false">IF(A34="","",IF(D34="Yes","Completed",IF(A34&lt;Dashboard!$C$5,"Missed","Scheduled")))</f>
        <v/>
      </c>
      <c r="K34" s="10"/>
    </row>
  </sheetData>
  <conditionalFormatting sqref="J5:J34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"Missed"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B5:B34" type="list">
      <formula1>Lists!$I$2:$I$6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3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6"/>
    <col collapsed="false" customWidth="true" hidden="false" outlineLevel="0" max="13" min="13" style="0" width="36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26" t="s">
        <v>327</v>
      </c>
      <c r="B1" s="26" t="s">
        <v>328</v>
      </c>
      <c r="C1" s="26" t="s">
        <v>218</v>
      </c>
      <c r="D1" s="26" t="s">
        <v>329</v>
      </c>
      <c r="E1" s="26" t="s">
        <v>330</v>
      </c>
      <c r="F1" s="26" t="s">
        <v>295</v>
      </c>
      <c r="G1" s="26" t="s">
        <v>331</v>
      </c>
      <c r="H1" s="26" t="s">
        <v>332</v>
      </c>
      <c r="I1" s="26" t="s">
        <v>333</v>
      </c>
      <c r="J1" s="26" t="s">
        <v>334</v>
      </c>
      <c r="K1" s="26" t="s">
        <v>335</v>
      </c>
      <c r="L1" s="2"/>
      <c r="M1" s="26" t="s">
        <v>336</v>
      </c>
      <c r="N1" s="26" t="s">
        <v>337</v>
      </c>
    </row>
    <row r="2" customFormat="false" ht="15" hidden="false" customHeight="false" outlineLevel="0" collapsed="false">
      <c r="A2" s="6" t="s">
        <v>110</v>
      </c>
      <c r="B2" s="6" t="s">
        <v>110</v>
      </c>
      <c r="C2" s="6" t="s">
        <v>186</v>
      </c>
      <c r="D2" s="6" t="s">
        <v>153</v>
      </c>
      <c r="E2" s="6" t="s">
        <v>88</v>
      </c>
      <c r="F2" s="6" t="s">
        <v>308</v>
      </c>
      <c r="G2" s="6" t="s">
        <v>338</v>
      </c>
      <c r="H2" s="6" t="s">
        <v>288</v>
      </c>
      <c r="I2" s="6" t="s">
        <v>325</v>
      </c>
      <c r="J2" s="6" t="s">
        <v>225</v>
      </c>
      <c r="K2" s="6" t="n">
        <v>1</v>
      </c>
      <c r="L2" s="2"/>
      <c r="M2" s="6" t="s">
        <v>339</v>
      </c>
      <c r="N2" s="10" t="n">
        <v>4</v>
      </c>
    </row>
    <row r="3" customFormat="false" ht="15" hidden="false" customHeight="false" outlineLevel="0" collapsed="false">
      <c r="A3" s="6" t="s">
        <v>113</v>
      </c>
      <c r="B3" s="6" t="s">
        <v>113</v>
      </c>
      <c r="C3" s="6" t="s">
        <v>197</v>
      </c>
      <c r="D3" s="6" t="s">
        <v>340</v>
      </c>
      <c r="E3" s="6" t="s">
        <v>89</v>
      </c>
      <c r="F3" s="6" t="s">
        <v>341</v>
      </c>
      <c r="G3" s="6" t="s">
        <v>342</v>
      </c>
      <c r="H3" s="6" t="s">
        <v>122</v>
      </c>
      <c r="I3" s="6" t="s">
        <v>91</v>
      </c>
      <c r="J3" s="6" t="s">
        <v>343</v>
      </c>
      <c r="K3" s="6" t="n">
        <v>2</v>
      </c>
      <c r="L3" s="2"/>
      <c r="M3" s="6" t="s">
        <v>344</v>
      </c>
      <c r="N3" s="10" t="n">
        <v>9</v>
      </c>
    </row>
    <row r="4" customFormat="false" ht="15" hidden="false" customHeight="false" outlineLevel="0" collapsed="false">
      <c r="A4" s="2"/>
      <c r="B4" s="6" t="s">
        <v>199</v>
      </c>
      <c r="C4" s="6" t="s">
        <v>199</v>
      </c>
      <c r="D4" s="6" t="s">
        <v>345</v>
      </c>
      <c r="E4" s="6" t="s">
        <v>90</v>
      </c>
      <c r="F4" s="6" t="s">
        <v>346</v>
      </c>
      <c r="G4" s="6" t="s">
        <v>347</v>
      </c>
      <c r="H4" s="6" t="s">
        <v>348</v>
      </c>
      <c r="I4" s="6" t="s">
        <v>90</v>
      </c>
      <c r="J4" s="6" t="s">
        <v>349</v>
      </c>
      <c r="K4" s="6" t="n">
        <v>3</v>
      </c>
      <c r="L4" s="2"/>
      <c r="M4" s="6" t="s">
        <v>350</v>
      </c>
      <c r="N4" s="10" t="n">
        <v>14</v>
      </c>
    </row>
    <row r="5" customFormat="false" ht="15" hidden="false" customHeight="false" outlineLevel="0" collapsed="false">
      <c r="A5" s="2"/>
      <c r="B5" s="2"/>
      <c r="C5" s="2"/>
      <c r="D5" s="6" t="s">
        <v>351</v>
      </c>
      <c r="E5" s="6" t="s">
        <v>91</v>
      </c>
      <c r="F5" s="6" t="s">
        <v>352</v>
      </c>
      <c r="G5" s="6" t="s">
        <v>353</v>
      </c>
      <c r="H5" s="6" t="s">
        <v>354</v>
      </c>
      <c r="I5" s="6" t="s">
        <v>93</v>
      </c>
      <c r="J5" s="6" t="s">
        <v>355</v>
      </c>
      <c r="K5" s="6" t="n">
        <v>4</v>
      </c>
      <c r="L5" s="2"/>
      <c r="M5" s="6" t="s">
        <v>356</v>
      </c>
      <c r="N5" s="2"/>
    </row>
    <row r="6" customFormat="false" ht="15" hidden="false" customHeight="false" outlineLevel="0" collapsed="false">
      <c r="A6" s="2"/>
      <c r="B6" s="2"/>
      <c r="C6" s="2"/>
      <c r="D6" s="6" t="s">
        <v>357</v>
      </c>
      <c r="E6" s="6" t="s">
        <v>92</v>
      </c>
      <c r="F6" s="2"/>
      <c r="G6" s="6" t="s">
        <v>358</v>
      </c>
      <c r="H6" s="6" t="s">
        <v>359</v>
      </c>
      <c r="I6" s="6" t="s">
        <v>360</v>
      </c>
      <c r="J6" s="2"/>
      <c r="K6" s="6" t="n">
        <v>5</v>
      </c>
      <c r="L6" s="2"/>
      <c r="M6" s="6" t="s">
        <v>361</v>
      </c>
      <c r="N6" s="10" t="n">
        <v>14</v>
      </c>
    </row>
    <row r="7" customFormat="false" ht="15" hidden="false" customHeight="false" outlineLevel="0" collapsed="false">
      <c r="A7" s="2"/>
      <c r="B7" s="2"/>
      <c r="C7" s="2"/>
      <c r="D7" s="6" t="s">
        <v>362</v>
      </c>
      <c r="E7" s="6" t="s">
        <v>93</v>
      </c>
      <c r="F7" s="2"/>
      <c r="G7" s="6" t="s">
        <v>363</v>
      </c>
      <c r="H7" s="6" t="s">
        <v>364</v>
      </c>
      <c r="I7" s="2"/>
      <c r="J7" s="2"/>
      <c r="K7" s="2"/>
      <c r="L7" s="2"/>
      <c r="M7" s="6" t="s">
        <v>365</v>
      </c>
      <c r="N7" s="10" t="n">
        <v>30</v>
      </c>
    </row>
    <row r="8" customFormat="false" ht="15" hidden="false" customHeight="false" outlineLevel="0" collapsed="false">
      <c r="A8" s="2"/>
      <c r="B8" s="2"/>
      <c r="C8" s="2"/>
      <c r="D8" s="6" t="s">
        <v>366</v>
      </c>
      <c r="E8" s="6" t="s">
        <v>94</v>
      </c>
      <c r="F8" s="2"/>
      <c r="G8" s="6" t="s">
        <v>287</v>
      </c>
      <c r="H8" s="6" t="s">
        <v>367</v>
      </c>
      <c r="I8" s="2"/>
      <c r="J8" s="2"/>
      <c r="K8" s="2"/>
      <c r="L8" s="2"/>
      <c r="M8" s="2"/>
      <c r="N8" s="2"/>
    </row>
    <row r="9" customFormat="false" ht="15" hidden="false" customHeight="true" outlineLevel="0" collapsed="false">
      <c r="A9" s="2"/>
      <c r="B9" s="2"/>
      <c r="C9" s="2"/>
      <c r="D9" s="6" t="s">
        <v>368</v>
      </c>
      <c r="E9" s="6" t="s">
        <v>95</v>
      </c>
      <c r="F9" s="2"/>
      <c r="G9" s="6" t="s">
        <v>369</v>
      </c>
      <c r="H9" s="6" t="s">
        <v>370</v>
      </c>
      <c r="I9" s="2"/>
      <c r="J9" s="2"/>
      <c r="K9" s="2"/>
      <c r="L9" s="2"/>
      <c r="M9" s="33" t="s">
        <v>371</v>
      </c>
      <c r="N9" s="33"/>
    </row>
    <row r="10" customFormat="false" ht="15" hidden="false" customHeight="false" outlineLevel="0" collapsed="false">
      <c r="A10" s="2"/>
      <c r="B10" s="2"/>
      <c r="C10" s="2"/>
      <c r="D10" s="6" t="s">
        <v>372</v>
      </c>
      <c r="E10" s="2"/>
      <c r="F10" s="2"/>
      <c r="G10" s="2"/>
      <c r="H10" s="6" t="s">
        <v>373</v>
      </c>
      <c r="I10" s="2"/>
      <c r="J10" s="2"/>
      <c r="K10" s="2"/>
      <c r="L10" s="2"/>
      <c r="M10" s="33"/>
      <c r="N10" s="33"/>
    </row>
    <row r="11" customFormat="false" ht="26.85" hidden="false" customHeight="false" outlineLevel="0" collapsed="false">
      <c r="A11" s="2"/>
      <c r="B11" s="2"/>
      <c r="C11" s="2"/>
      <c r="D11" s="6" t="s">
        <v>374</v>
      </c>
      <c r="E11" s="2"/>
      <c r="F11" s="2"/>
      <c r="G11" s="2"/>
      <c r="H11" s="6" t="s">
        <v>375</v>
      </c>
      <c r="I11" s="2"/>
      <c r="J11" s="2"/>
      <c r="K11" s="2"/>
      <c r="L11" s="2"/>
      <c r="M11" s="33"/>
      <c r="N11" s="33"/>
    </row>
    <row r="12" customFormat="false" ht="15" hidden="false" customHeight="false" outlineLevel="0" collapsed="false">
      <c r="A12" s="2"/>
      <c r="B12" s="2"/>
      <c r="C12" s="2"/>
      <c r="D12" s="6" t="s">
        <v>376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6" t="s">
        <v>377</v>
      </c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mergeCells count="1">
    <mergeCell ref="M9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2026-10-03T15:06:20Z</dcterms:created>
  <dc:creator>openpyxl</dc:creator>
  <dc:description/>
  <dc:language>en-US</dc:language>
  <cp:lastModifiedBy/>
  <dcterms:modified xsi:type="dcterms:W3CDTF">2026-10-03T15:06:23Z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