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Escalation Classifier" sheetId="3" state="visible" r:id="rId5"/>
    <sheet name="Immediate Checklist" sheetId="4" state="visible" r:id="rId6"/>
    <sheet name="Incident Log" sheetId="5" state="visible" r:id="rId7"/>
    <sheet name="CAPA Register" sheetId="6" state="visible" r:id="rId8"/>
    <sheet name="LOTO Register" sheetId="7" state="visible" r:id="rId9"/>
    <sheet name="Inspection Schedule" sheetId="8" state="visible" r:id="rId10"/>
    <sheet name="Reopening Clearance" sheetId="9" state="visible" r:id="rId11"/>
    <sheet name="RACI Matrix" sheetId="10" state="visible" r:id="rId12"/>
    <sheet name="Training Records" sheetId="11" state="visible" r:id="rId13"/>
    <sheet name="Drill Register" sheetId="12" state="visible" r:id="rId14"/>
    <sheet name="List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Defaults to today. Overwrite with a fixed date to report as of that date.</t>
        </r>
      </text>
    </comment>
    <comment ref="C6" authorId="0">
      <text>
        <r>
          <rPr>
            <sz val="10"/>
            <rFont val="Arial"/>
            <family val="2"/>
          </rPr>
          <t xml:space="preserve">Defined exposure measure for incident and near-miss rates, e.g. lab users or 1,000 lab-hours. Rates are per 100 units.</t>
        </r>
      </text>
    </comment>
  </commentList>
</comments>
</file>

<file path=xl/sharedStrings.xml><?xml version="1.0" encoding="utf-8"?>
<sst xmlns="http://schemas.openxmlformats.org/spreadsheetml/2006/main" count="685" uniqueCount="421">
  <si>
    <t xml:space="preserve">Electrical Accident Emergency – Monitoring Workbook</t>
  </si>
  <si>
    <t xml:space="preserve">Companion to the Electrical Accident Emergency SOP</t>
  </si>
  <si>
    <t xml:space="preserve">How to use</t>
  </si>
  <si>
    <t xml:space="preserve">Yellow cells, blue text</t>
  </si>
  <si>
    <t xml:space="preserve">Input cells – type or pick from the drop-down. Only edit these.</t>
  </si>
  <si>
    <t xml:space="preserve">Grey cells</t>
  </si>
  <si>
    <t xml:space="preserve">Auto-calculated formulas – do not overwrite.</t>
  </si>
  <si>
    <t xml:space="preserve">Green / amber / red</t>
  </si>
  <si>
    <t xml:space="preserve">Status highlighting is applied automatically.</t>
  </si>
  <si>
    <t xml:space="preserve">Sample data</t>
  </si>
  <si>
    <t xml:space="preserve">Each register holds example rows from an Electrical Machines Lab scenario so the Dashboard shows results. Overwrite or clear before use.</t>
  </si>
  <si>
    <t xml:space="preserve">Report date</t>
  </si>
  <si>
    <t xml:space="preserve">Dashboard C5 defaults to TODAY(). Overwrite with a fixed date to report as of that date.</t>
  </si>
  <si>
    <t xml:space="preserve">Sheets</t>
  </si>
  <si>
    <t xml:space="preserve">Dashboard</t>
  </si>
  <si>
    <t xml:space="preserve">SOP Section 20 KPIs with targets and automatic status, items needing attention, incidents by escalation level.</t>
  </si>
  <si>
    <t xml:space="preserve">Escalation Classifier</t>
  </si>
  <si>
    <t xml:space="preserve">SOP Section 10: answer yes/no questions to get Level 1–4 and who must be notified.</t>
  </si>
  <si>
    <t xml:space="preserve">Immediate Checklist</t>
  </si>
  <si>
    <t xml:space="preserve">SOP Section 22: 19-step checklist for a live incident, with completion tracking.</t>
  </si>
  <si>
    <t xml:space="preserve">Incident Log</t>
  </si>
  <si>
    <t xml:space="preserve">SOP Sections 3, 10 &amp; 16: accidents, near misses and faults; isolation response time; RCA method; repeat flag.</t>
  </si>
  <si>
    <t xml:space="preserve">CAPA Register</t>
  </si>
  <si>
    <t xml:space="preserve">SOP Section 17: actions with due dates and effectiveness verification; closure counts only when verified.</t>
  </si>
  <si>
    <t xml:space="preserve">LOTO Register</t>
  </si>
  <si>
    <t xml:space="preserve">SOP Section 6: isolation, verification, lock/tag, re-energization authorization.</t>
  </si>
  <si>
    <t xml:space="preserve">Inspection Schedule</t>
  </si>
  <si>
    <t xml:space="preserve">SOP Sections 13 &amp; 20: planned electrical inspections and tests; inspection compliance.</t>
  </si>
  <si>
    <t xml:space="preserve">Reopening Clearance</t>
  </si>
  <si>
    <t xml:space="preserve">SOP Section 19: lab may reopen only when all applicable conditions are met.</t>
  </si>
  <si>
    <t xml:space="preserve">RACI Matrix</t>
  </si>
  <si>
    <t xml:space="preserve">SOP Section 11: roles per activity, with an automatic check on accountability.</t>
  </si>
  <si>
    <t xml:space="preserve">Training Records</t>
  </si>
  <si>
    <t xml:space="preserve">SOP Section 15: role-based training, expiry and compliance.</t>
  </si>
  <si>
    <t xml:space="preserve">Drill Register</t>
  </si>
  <si>
    <t xml:space="preserve">Electrical safety drills planned vs completed.</t>
  </si>
  <si>
    <t xml:space="preserve">Lists</t>
  </si>
  <si>
    <t xml:space="preserve">Drop-down sources and adjustable parameters.</t>
  </si>
  <si>
    <t xml:space="preserve">Core principle: No laboratory experiment, workshop activity, equipment operation, academic schedule, or research objective shall take precedence over human life and electrical safety.</t>
  </si>
  <si>
    <t xml:space="preserve">Electrical Safety – KPI Dashboard</t>
  </si>
  <si>
    <t xml:space="preserve">SOP Section 20 – Key Performance Indicators (auto-calculated from the registers)</t>
  </si>
  <si>
    <t xml:space="preserve">Department / block</t>
  </si>
  <si>
    <t xml:space="preserve">Department of EEE</t>
  </si>
  <si>
    <t xml:space="preserve">Exposure measure (lab users in period)</t>
  </si>
  <si>
    <t xml:space="preserve">#</t>
  </si>
  <si>
    <t xml:space="preserve">KPI</t>
  </si>
  <si>
    <t xml:space="preserve">Formula</t>
  </si>
  <si>
    <t xml:space="preserve">Actual</t>
  </si>
  <si>
    <t xml:space="preserve">Target</t>
  </si>
  <si>
    <t xml:space="preserve">Direction</t>
  </si>
  <si>
    <t xml:space="preserve">Status</t>
  </si>
  <si>
    <t xml:space="preserve">SOP target</t>
  </si>
  <si>
    <t xml:space="preserve">Electrical incident rate (per 100)</t>
  </si>
  <si>
    <t xml:space="preserve">Accidents + faults ÷ exposure × 100</t>
  </si>
  <si>
    <t xml:space="preserve">Lower is better</t>
  </si>
  <si>
    <t xml:space="preserve">Declining</t>
  </si>
  <si>
    <t xml:space="preserve">Near-miss reporting rate (per 100)</t>
  </si>
  <si>
    <t xml:space="preserve">Near misses ÷ exposure × 100</t>
  </si>
  <si>
    <t xml:space="preserve">Higher is better</t>
  </si>
  <si>
    <t xml:space="preserve">Increasing initially</t>
  </si>
  <si>
    <t xml:space="preserve">Avg emergency isolation response (min)</t>
  </si>
  <si>
    <t xml:space="preserve">Isolation time − verified incident time</t>
  </si>
  <si>
    <t xml:space="preserve">Minimized</t>
  </si>
  <si>
    <t xml:space="preserve">Electrical inspection compliance</t>
  </si>
  <si>
    <t xml:space="preserve">Completed ÷ planned inspections due × 100</t>
  </si>
  <si>
    <t xml:space="preserve">≥ 95%</t>
  </si>
  <si>
    <t xml:space="preserve">Training compliance</t>
  </si>
  <si>
    <t xml:space="preserve">Current ÷ personnel requiring training × 100</t>
  </si>
  <si>
    <t xml:space="preserve">100%</t>
  </si>
  <si>
    <t xml:space="preserve">Corrective action closure</t>
  </si>
  <si>
    <t xml:space="preserve">CAPAs closed (verified) ÷ CAPAs due × 100</t>
  </si>
  <si>
    <t xml:space="preserve">Electrical safety drill completion</t>
  </si>
  <si>
    <t xml:space="preserve">Completed ÷ planned drills due × 100</t>
  </si>
  <si>
    <t xml:space="preserve">Repeat incident rate</t>
  </si>
  <si>
    <t xml:space="preserve">Repeat incidents ÷ total incidents × 100</t>
  </si>
  <si>
    <t xml:space="preserve">Near zero</t>
  </si>
  <si>
    <t xml:space="preserve">LOTO compliance</t>
  </si>
  <si>
    <t xml:space="preserve">Compliant ÷ LOTO applications × 100</t>
  </si>
  <si>
    <t xml:space="preserve">Section 6</t>
  </si>
  <si>
    <t xml:space="preserve">Numeric targets (yellow) are suggested where the SOP gives a direction only – set them to your institution's approved values.</t>
  </si>
  <si>
    <t xml:space="preserve">Items needing attention</t>
  </si>
  <si>
    <t xml:space="preserve">Source</t>
  </si>
  <si>
    <t xml:space="preserve">Count</t>
  </si>
  <si>
    <t xml:space="preserve">Overdue CAPAs</t>
  </si>
  <si>
    <t xml:space="preserve">CAPAs awaiting effectiveness verification</t>
  </si>
  <si>
    <t xml:space="preserve">Level 3–4 incidents logged</t>
  </si>
  <si>
    <t xml:space="preserve">Isolation not by authorized person</t>
  </si>
  <si>
    <t xml:space="preserve">Injuries without medical evaluation</t>
  </si>
  <si>
    <t xml:space="preserve">Active LOTOs</t>
  </si>
  <si>
    <t xml:space="preserve">Non-compliant LOTOs</t>
  </si>
  <si>
    <t xml:space="preserve">Inspections missed</t>
  </si>
  <si>
    <t xml:space="preserve">Inspections failed</t>
  </si>
  <si>
    <t xml:space="preserve">Training expired / expiring / not trained</t>
  </si>
  <si>
    <t xml:space="preserve">Drills missed</t>
  </si>
  <si>
    <t xml:space="preserve">Escalation level</t>
  </si>
  <si>
    <t xml:space="preserve">Events logged</t>
  </si>
  <si>
    <t xml:space="preserve">Level 1 – Minor</t>
  </si>
  <si>
    <t xml:space="preserve">Level 2 – Significant</t>
  </si>
  <si>
    <t xml:space="preserve">Level 3 – Major</t>
  </si>
  <si>
    <t xml:space="preserve">Level 4 – Critical</t>
  </si>
  <si>
    <t xml:space="preserve">Electrical Accident Escalation Classifier</t>
  </si>
  <si>
    <t xml:space="preserve">SOP Section 10 – life-threatening emergencies bypass intermediate levels</t>
  </si>
  <si>
    <t xml:space="preserve">Question</t>
  </si>
  <si>
    <t xml:space="preserve">Answer</t>
  </si>
  <si>
    <t xml:space="preserve">Indicates</t>
  </si>
  <si>
    <t xml:space="preserve">Fatality or multiple casualties?</t>
  </si>
  <si>
    <t xml:space="preserve">No</t>
  </si>
  <si>
    <t xml:space="preserve">Major fire or explosion?</t>
  </si>
  <si>
    <t xml:space="preserve">Major campus disruption?</t>
  </si>
  <si>
    <t xml:space="preserve">Serious injury (e.g. unconscious, cardiac effect, significant burn)?</t>
  </si>
  <si>
    <t xml:space="preserve">Major electrical fire?</t>
  </si>
  <si>
    <t xml:space="preserve">Significant operational disruption?</t>
  </si>
  <si>
    <t xml:space="preserve">Minor injury?</t>
  </si>
  <si>
    <t xml:space="preserve">Yes</t>
  </si>
  <si>
    <t xml:space="preserve">Equipment damage?</t>
  </si>
  <si>
    <t xml:space="preserve">Localized fire or fault?</t>
  </si>
  <si>
    <t xml:space="preserve">Is anyone's life at immediate risk?</t>
  </si>
  <si>
    <t xml:space="preserve">Questions unanswered</t>
  </si>
  <si>
    <t xml:space="preserve">Response / notify</t>
  </si>
  <si>
    <t xml:space="preserve">Immediate emergency call</t>
  </si>
  <si>
    <t xml:space="preserve">Severity takes the highest level any 'Yes' indicates. Never touch a person still in contact with an energized source.</t>
  </si>
  <si>
    <t xml:space="preserve">Electrical Accident – Immediate Checklist</t>
  </si>
  <si>
    <t xml:space="preserve">SOP Section 22 – complete during and after the incident</t>
  </si>
  <si>
    <t xml:space="preserve">Incident ref</t>
  </si>
  <si>
    <t xml:space="preserve">EA-001</t>
  </si>
  <si>
    <t xml:space="preserve">Location</t>
  </si>
  <si>
    <t xml:space="preserve">Electrical Machines Lab</t>
  </si>
  <si>
    <t xml:space="preserve">Date</t>
  </si>
  <si>
    <t xml:space="preserve">Completed by</t>
  </si>
  <si>
    <t xml:space="preserve">Lab In-Charge</t>
  </si>
  <si>
    <t xml:space="preserve">Action</t>
  </si>
  <si>
    <t xml:space="preserve">Done?</t>
  </si>
  <si>
    <t xml:space="preserve">Time</t>
  </si>
  <si>
    <t xml:space="preserve">Done by / remarks</t>
  </si>
  <si>
    <t xml:space="preserve">Stop work / experiment</t>
  </si>
  <si>
    <t xml:space="preserve">Raise emergency alarm</t>
  </si>
  <si>
    <t xml:space="preserve">Keep people away from the hazard</t>
  </si>
  <si>
    <t xml:space="preserve">Do not touch a person in contact with live electricity</t>
  </si>
  <si>
    <t xml:space="preserve">Isolate electrical energy safely</t>
  </si>
  <si>
    <t xml:space="preserve">Call emergency / medical assistance</t>
  </si>
  <si>
    <t xml:space="preserve">Confirm the area is safe before approaching the victim</t>
  </si>
  <si>
    <t xml:space="preserve">Provide appropriate first aid through trained personnel</t>
  </si>
  <si>
    <t xml:space="preserve">Control fire and secondary hazards</t>
  </si>
  <si>
    <t xml:space="preserve">Secure the affected area</t>
  </si>
  <si>
    <t xml:space="preserve">Notify the responsible authority</t>
  </si>
  <si>
    <t xml:space="preserve">Record the incident</t>
  </si>
  <si>
    <t xml:space="preserve">Preserve relevant evidence</t>
  </si>
  <si>
    <t xml:space="preserve">Conduct investigation</t>
  </si>
  <si>
    <t xml:space="preserve">Implement CAPA</t>
  </si>
  <si>
    <t xml:space="preserve">Verify corrective actions</t>
  </si>
  <si>
    <t xml:space="preserve">Authorize reopening</t>
  </si>
  <si>
    <t xml:space="preserve">Update risk register / SOP / training where required</t>
  </si>
  <si>
    <t xml:space="preserve">Record lessons learned for CQI</t>
  </si>
  <si>
    <t xml:space="preserve">Steps complete</t>
  </si>
  <si>
    <t xml:space="preserve">Steps applicable</t>
  </si>
  <si>
    <t xml:space="preserve">Completion</t>
  </si>
  <si>
    <t xml:space="preserve">Electrical Incident &amp; Near-Miss Log</t>
  </si>
  <si>
    <t xml:space="preserve">SOP Sections 3, 10, 16 – every accident, significant fault, near miss, fire, arc flash or equipment-related injury</t>
  </si>
  <si>
    <t xml:space="preserve">Ref</t>
  </si>
  <si>
    <t xml:space="preserve">Time verified</t>
  </si>
  <si>
    <t xml:space="preserve">Time power isolated</t>
  </si>
  <si>
    <t xml:space="preserve">Isolation response (min)</t>
  </si>
  <si>
    <t xml:space="preserve">Location type</t>
  </si>
  <si>
    <t xml:space="preserve">Event type</t>
  </si>
  <si>
    <t xml:space="preserve">Scenario</t>
  </si>
  <si>
    <t xml:space="preserve">Equipment / circuit</t>
  </si>
  <si>
    <t xml:space="preserve">Persons affected</t>
  </si>
  <si>
    <t xml:space="preserve">Injury</t>
  </si>
  <si>
    <t xml:space="preserve">Isolated by authorized person?</t>
  </si>
  <si>
    <t xml:space="preserve">Medical evaluation done?</t>
  </si>
  <si>
    <t xml:space="preserve">Fire involved?</t>
  </si>
  <si>
    <t xml:space="preserve">RCA method</t>
  </si>
  <si>
    <t xml:space="preserve">Root cause</t>
  </si>
  <si>
    <t xml:space="preserve">CAPA ref</t>
  </si>
  <si>
    <t xml:space="preserve">Repeat incident?</t>
  </si>
  <si>
    <t xml:space="preserve">Lab reopened (date)</t>
  </si>
  <si>
    <t xml:space="preserve">Description / remarks</t>
  </si>
  <si>
    <t xml:space="preserve">Electrical / EEE lab</t>
  </si>
  <si>
    <t xml:space="preserve">Accident</t>
  </si>
  <si>
    <t xml:space="preserve">Electric shock</t>
  </si>
  <si>
    <t xml:space="preserve">DC motor test bench terminal</t>
  </si>
  <si>
    <t xml:space="preserve">Shock (no lasting injury)</t>
  </si>
  <si>
    <t xml:space="preserve">5 Why</t>
  </si>
  <si>
    <t xml:space="preserve">Worn terminal shroud exposed live conductor</t>
  </si>
  <si>
    <t xml:space="preserve">CA-001</t>
  </si>
  <si>
    <t xml:space="preserve">Student touched exposed terminal during rewiring; supply isolated via emergency stop</t>
  </si>
  <si>
    <t xml:space="preserve">Power Electronics Lab</t>
  </si>
  <si>
    <t xml:space="preserve">Near miss</t>
  </si>
  <si>
    <t xml:space="preserve">Overload</t>
  </si>
  <si>
    <t xml:space="preserve">Bench socket strip</t>
  </si>
  <si>
    <t xml:space="preserve">None</t>
  </si>
  <si>
    <t xml:space="preserve">N/A</t>
  </si>
  <si>
    <t xml:space="preserve">Equipment inspection</t>
  </si>
  <si>
    <t xml:space="preserve">Unauthorized adapter overloading socket</t>
  </si>
  <si>
    <t xml:space="preserve">CA-002</t>
  </si>
  <si>
    <t xml:space="preserve">Hot smell noticed; strip removed before damage</t>
  </si>
  <si>
    <t xml:space="preserve">Fabrication Area</t>
  </si>
  <si>
    <t xml:space="preserve">Student project / fabrication area</t>
  </si>
  <si>
    <t xml:space="preserve">Significant fault (no injury)</t>
  </si>
  <si>
    <t xml:space="preserve">Damaged cable or plug</t>
  </si>
  <si>
    <t xml:space="preserve">Soldering station lead</t>
  </si>
  <si>
    <t xml:space="preserve">Maintenance-record review</t>
  </si>
  <si>
    <t xml:space="preserve">Cable insulation damaged; not in inspection plan</t>
  </si>
  <si>
    <t xml:space="preserve">CA-003</t>
  </si>
  <si>
    <t xml:space="preserve">Second cable fault in this area this term</t>
  </si>
  <si>
    <t xml:space="preserve">Corrective &amp; Preventive Action (CAPA) Register</t>
  </si>
  <si>
    <t xml:space="preserve">SOP Section 17 – a CAPA counts as closed only when effectiveness is verified</t>
  </si>
  <si>
    <t xml:space="preserve">Finding</t>
  </si>
  <si>
    <t xml:space="preserve">Corrective / preventive action</t>
  </si>
  <si>
    <t xml:space="preserve">Responsible unit</t>
  </si>
  <si>
    <t xml:space="preserve">Due date</t>
  </si>
  <si>
    <t xml:space="preserve">Completed date</t>
  </si>
  <si>
    <t xml:space="preserve">Effectiveness verification method</t>
  </si>
  <si>
    <t xml:space="preserve">Verified effective?</t>
  </si>
  <si>
    <t xml:space="preserve">Verified by</t>
  </si>
  <si>
    <t xml:space="preserve">Days overdue</t>
  </si>
  <si>
    <t xml:space="preserve">Remarks</t>
  </si>
  <si>
    <t xml:space="preserve">Faulty protective device</t>
  </si>
  <si>
    <t xml:space="preserve">Replace terminal shrouds on all motor benches; add pre-start check</t>
  </si>
  <si>
    <t xml:space="preserve">Maintenance</t>
  </si>
  <si>
    <t xml:space="preserve">Functional test</t>
  </si>
  <si>
    <t xml:space="preserve">Safety Officer</t>
  </si>
  <si>
    <t xml:space="preserve">EA-002</t>
  </si>
  <si>
    <t xml:space="preserve">Overloaded socket</t>
  </si>
  <si>
    <t xml:space="preserve">Remove unauthorized adapters; reconfigure bench load</t>
  </si>
  <si>
    <t xml:space="preserve">Electrical Team</t>
  </si>
  <si>
    <t xml:space="preserve">Load verification</t>
  </si>
  <si>
    <t xml:space="preserve">EA-003</t>
  </si>
  <si>
    <t xml:space="preserve">Damaged cable</t>
  </si>
  <si>
    <t xml:space="preserve">Replace cable and inspect similar equipment in fabrication area</t>
  </si>
  <si>
    <t xml:space="preserve">Inspection</t>
  </si>
  <si>
    <t xml:space="preserve">Inadequate training</t>
  </si>
  <si>
    <t xml:space="preserve">Conduct electrical safety training for fabrication-area users</t>
  </si>
  <si>
    <t xml:space="preserve">Safety / IQAC</t>
  </si>
  <si>
    <t xml:space="preserve">Competency assessment</t>
  </si>
  <si>
    <t xml:space="preserve">Lockout / Tagout (LOTO) Register</t>
  </si>
  <si>
    <t xml:space="preserve">SOP Section 6 – authorized isolation, stored energy considered, isolation verified, no unauthorized re-energization</t>
  </si>
  <si>
    <t xml:space="preserve">LOTO no.</t>
  </si>
  <si>
    <t xml:space="preserve">Date applied</t>
  </si>
  <si>
    <t xml:space="preserve">Isolation point</t>
  </si>
  <si>
    <t xml:space="preserve">Authorized person</t>
  </si>
  <si>
    <t xml:space="preserve">On authorized list?</t>
  </si>
  <si>
    <t xml:space="preserve">Stored energy discharged?</t>
  </si>
  <si>
    <t xml:space="preserve">Isolation verified (zero energy)?</t>
  </si>
  <si>
    <t xml:space="preserve">Lock applied?</t>
  </si>
  <si>
    <t xml:space="preserve">Tag applied?</t>
  </si>
  <si>
    <t xml:space="preserve">Date removed</t>
  </si>
  <si>
    <t xml:space="preserve">Re-energization authorized by</t>
  </si>
  <si>
    <t xml:space="preserve">Inspected before return?</t>
  </si>
  <si>
    <t xml:space="preserve">Compliance status</t>
  </si>
  <si>
    <t xml:space="preserve">LT-014</t>
  </si>
  <si>
    <t xml:space="preserve">DC motor test bench 3</t>
  </si>
  <si>
    <t xml:space="preserve">DB-2 / MCB 7</t>
  </si>
  <si>
    <t xml:space="preserve">M. Suresh (Electrician)</t>
  </si>
  <si>
    <t xml:space="preserve">LT-015</t>
  </si>
  <si>
    <t xml:space="preserve">Fabrication area socket ring</t>
  </si>
  <si>
    <t xml:space="preserve">DB-5 / MCB 3</t>
  </si>
  <si>
    <t xml:space="preserve">R. Kumar (Technician)</t>
  </si>
  <si>
    <t xml:space="preserve">Electrical Inspection &amp; Testing Schedule</t>
  </si>
  <si>
    <t xml:space="preserve">Electrical Inspection Compliance = completed ÷ planned inspections due to date (Section 20)</t>
  </si>
  <si>
    <t xml:space="preserve">Asset / area</t>
  </si>
  <si>
    <t xml:space="preserve">Inspection type</t>
  </si>
  <si>
    <t xml:space="preserve">Planned date</t>
  </si>
  <si>
    <t xml:space="preserve">Date completed</t>
  </si>
  <si>
    <t xml:space="preserve">Result</t>
  </si>
  <si>
    <t xml:space="preserve">Inspection status</t>
  </si>
  <si>
    <t xml:space="preserve">Interval (days)</t>
  </si>
  <si>
    <t xml:space="preserve">Next due</t>
  </si>
  <si>
    <t xml:space="preserve">Inspected by</t>
  </si>
  <si>
    <t xml:space="preserve">Main DB – EEE block</t>
  </si>
  <si>
    <t xml:space="preserve">EEE block ground floor</t>
  </si>
  <si>
    <t xml:space="preserve">Distribution board inspection</t>
  </si>
  <si>
    <t xml:space="preserve">Pass</t>
  </si>
  <si>
    <t xml:space="preserve">EEE block</t>
  </si>
  <si>
    <t xml:space="preserve">Earthing / grounding test</t>
  </si>
  <si>
    <t xml:space="preserve">RCD / ELCB trip test</t>
  </si>
  <si>
    <t xml:space="preserve">Motor test benches 1–6</t>
  </si>
  <si>
    <t xml:space="preserve">Emergency stop test</t>
  </si>
  <si>
    <t xml:space="preserve">Fail</t>
  </si>
  <si>
    <t xml:space="preserve">Bench 4 e-stop slow to trip – repaired and retested</t>
  </si>
  <si>
    <t xml:space="preserve">Fabrication area</t>
  </si>
  <si>
    <t xml:space="preserve">Workshop block</t>
  </si>
  <si>
    <t xml:space="preserve">Cable &amp; plug inspection</t>
  </si>
  <si>
    <t xml:space="preserve">Portable appliance test</t>
  </si>
  <si>
    <t xml:space="preserve">Laboratory / Workshop Reopening Clearance</t>
  </si>
  <si>
    <t xml:space="preserve">SOP Section 19 – do not reopen merely because power has been restored</t>
  </si>
  <si>
    <t xml:space="preserve">Laboratory / workshop</t>
  </si>
  <si>
    <t xml:space="preserve">Serious incident (formal safety clearance needed)?</t>
  </si>
  <si>
    <t xml:space="preserve">Clearance date</t>
  </si>
  <si>
    <t xml:space="preserve">Reopening condition</t>
  </si>
  <si>
    <t xml:space="preserve">Verified by / remarks</t>
  </si>
  <si>
    <t xml:space="preserve">Electrical inspection completed</t>
  </si>
  <si>
    <t xml:space="preserve">Equipment inspection completed</t>
  </si>
  <si>
    <t xml:space="preserve">Protection-system verification</t>
  </si>
  <si>
    <t xml:space="preserve">Grounding / earthing verified</t>
  </si>
  <si>
    <t xml:space="preserve">Temporary hazards removed</t>
  </si>
  <si>
    <t xml:space="preserve">Corrective actions completed</t>
  </si>
  <si>
    <t xml:space="preserve">Authorization by competent authority</t>
  </si>
  <si>
    <t xml:space="preserve">Communication to users</t>
  </si>
  <si>
    <t xml:space="preserve">Reopening documented</t>
  </si>
  <si>
    <t xml:space="preserve">Formal safety clearance obtained (serious incidents)</t>
  </si>
  <si>
    <t xml:space="preserve">Conditions met / applicable</t>
  </si>
  <si>
    <t xml:space="preserve">Decision</t>
  </si>
  <si>
    <t xml:space="preserve">Roles &amp; Responsibilities – RACI</t>
  </si>
  <si>
    <t xml:space="preserve">SOP Section 11 – R Responsible · A Accountable · C Consulted · I Informed</t>
  </si>
  <si>
    <t xml:space="preserve">Activity</t>
  </si>
  <si>
    <t xml:space="preserve">Lab Faculty</t>
  </si>
  <si>
    <t xml:space="preserve">Technician</t>
  </si>
  <si>
    <t xml:space="preserve">Maintenance / Electrical Team</t>
  </si>
  <si>
    <t xml:space="preserve">Crisis Coordinator</t>
  </si>
  <si>
    <t xml:space="preserve">Head of Institution</t>
  </si>
  <si>
    <t xml:space="preserve"># Accountable</t>
  </si>
  <si>
    <t xml:space="preserve">Check</t>
  </si>
  <si>
    <t xml:space="preserve">Raise alarm</t>
  </si>
  <si>
    <t xml:space="preserve">R</t>
  </si>
  <si>
    <t xml:space="preserve">A</t>
  </si>
  <si>
    <t xml:space="preserve">C</t>
  </si>
  <si>
    <t xml:space="preserve">I</t>
  </si>
  <si>
    <t xml:space="preserve">Stop experiment / work</t>
  </si>
  <si>
    <t xml:space="preserve">Electrical isolation</t>
  </si>
  <si>
    <t xml:space="preserve">First aid coordination</t>
  </si>
  <si>
    <t xml:space="preserve">Area evacuation</t>
  </si>
  <si>
    <t xml:space="preserve">Emergency communication</t>
  </si>
  <si>
    <t xml:space="preserve">Incident reporting</t>
  </si>
  <si>
    <t xml:space="preserve">Investigation</t>
  </si>
  <si>
    <t xml:space="preserve">CAPA</t>
  </si>
  <si>
    <t xml:space="preserve">Reopening authorization</t>
  </si>
  <si>
    <t xml:space="preserve">The SOP lists two Accountable roles for CAPA and Reopening authorization; the check flags these so the institution can confirm the intended sign-off.</t>
  </si>
  <si>
    <t xml:space="preserve">Electrical Safety Training &amp; Competency Records</t>
  </si>
  <si>
    <t xml:space="preserve">SOP Section 15 – role-based and periodically refreshed</t>
  </si>
  <si>
    <t xml:space="preserve">Name</t>
  </si>
  <si>
    <t xml:space="preserve">ID / Staff no.</t>
  </si>
  <si>
    <t xml:space="preserve">Role</t>
  </si>
  <si>
    <t xml:space="preserve">Training required?</t>
  </si>
  <si>
    <t xml:space="preserve">Training module</t>
  </si>
  <si>
    <t xml:space="preserve">Validity (months)</t>
  </si>
  <si>
    <t xml:space="preserve">Expiry date</t>
  </si>
  <si>
    <t xml:space="preserve">Assessed competent?</t>
  </si>
  <si>
    <t xml:space="preserve">M. Suresh</t>
  </si>
  <si>
    <t xml:space="preserve">EL-007</t>
  </si>
  <si>
    <t xml:space="preserve">Electrician</t>
  </si>
  <si>
    <t xml:space="preserve">LOTO</t>
  </si>
  <si>
    <t xml:space="preserve">Dr. A. Rao</t>
  </si>
  <si>
    <t xml:space="preserve">FA-112</t>
  </si>
  <si>
    <t xml:space="preserve">CPR / AED (designated personnel)</t>
  </si>
  <si>
    <t xml:space="preserve">R. Kumar</t>
  </si>
  <si>
    <t xml:space="preserve">LT-021</t>
  </si>
  <si>
    <t xml:space="preserve">K. Priya</t>
  </si>
  <si>
    <t xml:space="preserve">22A31A0412</t>
  </si>
  <si>
    <t xml:space="preserve">Student</t>
  </si>
  <si>
    <t xml:space="preserve">Electrical hazard recognition</t>
  </si>
  <si>
    <t xml:space="preserve">Scheduled for next induction</t>
  </si>
  <si>
    <t xml:space="preserve">Electrical Safety Drill Register</t>
  </si>
  <si>
    <t xml:space="preserve">Drill Completion = completed ÷ planned drills due to date (Section 20)</t>
  </si>
  <si>
    <t xml:space="preserve">Drill type</t>
  </si>
  <si>
    <t xml:space="preserve">Laboratory / area</t>
  </si>
  <si>
    <t xml:space="preserve">Conducted?</t>
  </si>
  <si>
    <t xml:space="preserve">Date conducted</t>
  </si>
  <si>
    <t xml:space="preserve">Participants</t>
  </si>
  <si>
    <t xml:space="preserve">Isolation achieved (min)</t>
  </si>
  <si>
    <t xml:space="preserve">Drill status</t>
  </si>
  <si>
    <t xml:space="preserve">Observations / improvements</t>
  </si>
  <si>
    <t xml:space="preserve">Electric shock response</t>
  </si>
  <si>
    <t xml:space="preserve">Emergency stop location to be re-marked at bench height</t>
  </si>
  <si>
    <t xml:space="preserve">Electrical fire evacuation</t>
  </si>
  <si>
    <t xml:space="preserve">CPR / AED scenario</t>
  </si>
  <si>
    <t xml:space="preserve">Yes / No</t>
  </si>
  <si>
    <t xml:space="preserve">Yes / No / N/A</t>
  </si>
  <si>
    <t xml:space="preserve">Pass / Fail</t>
  </si>
  <si>
    <t xml:space="preserve">Accident scenario</t>
  </si>
  <si>
    <t xml:space="preserve">Training modules</t>
  </si>
  <si>
    <t xml:space="preserve">RACI</t>
  </si>
  <si>
    <t xml:space="preserve">Parameter</t>
  </si>
  <si>
    <t xml:space="preserve">Value</t>
  </si>
  <si>
    <t xml:space="preserve">'Due soon' window (days)</t>
  </si>
  <si>
    <t xml:space="preserve">Electrocution</t>
  </si>
  <si>
    <t xml:space="preserve">ECE lab</t>
  </si>
  <si>
    <t xml:space="preserve">Fishbone / Ishikawa</t>
  </si>
  <si>
    <t xml:space="preserve">Emergency shutdown</t>
  </si>
  <si>
    <t xml:space="preserve">Training 'expiring' window (days)</t>
  </si>
  <si>
    <t xml:space="preserve">Electrical burn</t>
  </si>
  <si>
    <t xml:space="preserve">Burn</t>
  </si>
  <si>
    <t xml:space="preserve">Computer / network lab</t>
  </si>
  <si>
    <t xml:space="preserve">Fault Tree</t>
  </si>
  <si>
    <t xml:space="preserve">Insulation resistance test</t>
  </si>
  <si>
    <t xml:space="preserve">Lab</t>
  </si>
  <si>
    <t xml:space="preserve">Emergency isolation</t>
  </si>
  <si>
    <t xml:space="preserve">Arc flash / arc blast</t>
  </si>
  <si>
    <t xml:space="preserve">Arc-flash injury</t>
  </si>
  <si>
    <t xml:space="preserve">Physics / applied science lab</t>
  </si>
  <si>
    <t xml:space="preserve">Event timeline</t>
  </si>
  <si>
    <t xml:space="preserve">Arc-flash response</t>
  </si>
  <si>
    <t xml:space="preserve">Short circuit</t>
  </si>
  <si>
    <t xml:space="preserve">Eye injury</t>
  </si>
  <si>
    <t xml:space="preserve">Mechanical workshop</t>
  </si>
  <si>
    <t xml:space="preserve">Fire response</t>
  </si>
  <si>
    <t xml:space="preserve">Lab / Safety</t>
  </si>
  <si>
    <t xml:space="preserve">Hearing injury</t>
  </si>
  <si>
    <t xml:space="preserve">R&amp;D lab</t>
  </si>
  <si>
    <t xml:space="preserve">Tabletop exercise</t>
  </si>
  <si>
    <t xml:space="preserve">Exposed conductor</t>
  </si>
  <si>
    <t xml:space="preserve">Cardiac effect</t>
  </si>
  <si>
    <t xml:space="preserve">High-voltage lab</t>
  </si>
  <si>
    <t xml:space="preserve">First aid awareness</t>
  </si>
  <si>
    <t xml:space="preserve">Secondary fall / impact</t>
  </si>
  <si>
    <t xml:space="preserve">Battery / energy-storage lab</t>
  </si>
  <si>
    <t xml:space="preserve">Thermographic survey</t>
  </si>
  <si>
    <t xml:space="preserve">Faulty electrical equipment</t>
  </si>
  <si>
    <t xml:space="preserve">Fatality</t>
  </si>
  <si>
    <t xml:space="preserve">Testing &amp; measurement lab</t>
  </si>
  <si>
    <t xml:space="preserve">Protective device verification</t>
  </si>
  <si>
    <t xml:space="preserve">Lab-specific electrical hazards</t>
  </si>
  <si>
    <t xml:space="preserve">Electrical panel failure</t>
  </si>
  <si>
    <t xml:space="preserve">Distribution panel / equipment room</t>
  </si>
  <si>
    <t xml:space="preserve">Battery incident</t>
  </si>
  <si>
    <t xml:space="preserve">Temporary experimental setup</t>
  </si>
  <si>
    <t xml:space="preserve">Water contacting electrical equipment</t>
  </si>
  <si>
    <t xml:space="preserve">Maintenance / utility area</t>
  </si>
  <si>
    <t xml:space="preserve">Electrical fire</t>
  </si>
  <si>
    <t xml:space="preserve">Improper grounding / earthing</t>
  </si>
  <si>
    <t xml:space="preserve">Unauthorized electrical modification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</si>
</sst>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"/>
    <numFmt numFmtId="167" formatCode="0.00"/>
    <numFmt numFmtId="168" formatCode="0.0"/>
    <numFmt numFmtId="169" formatCode="0.0%"/>
    <numFmt numFmtId="170" formatCode="General"/>
    <numFmt numFmtId="171" formatCode="hh:mm"/>
    <numFmt numFmtId="17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  <dxf>
      <font>
        <name val="Arial"/>
        <charset val="1"/>
        <family val="0"/>
        <color rgb="FF595959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9F9F9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Events by escalation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Dashboard!C34</c:f>
              <c:strCache>
                <c:ptCount val="1"/>
                <c:pt idx="0">
                  <c:v>Events logged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Dashboard!$B$35:$B$38</c:f>
              <c:strCache>
                <c:ptCount val="4"/>
                <c:pt idx="0">
                  <c:v>Level 1 – Minor</c:v>
                </c:pt>
                <c:pt idx="1">
                  <c:v>Level 2 – Significant</c:v>
                </c:pt>
                <c:pt idx="2">
                  <c:v>Level 3 – Major</c:v>
                </c:pt>
                <c:pt idx="3">
                  <c:v>Level 4 – Critical</c:v>
                </c:pt>
              </c:strCache>
            </c:strRef>
          </c:cat>
          <c:val>
            <c:numRef>
              <c:f>Dashboard!$C$35:$C$38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7391671"/>
        <c:axId val="92473052"/>
      </c:barChart>
      <c:catAx>
        <c:axId val="3739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73052"/>
        <c:crosses val="autoZero"/>
        <c:auto val="1"/>
        <c:lblAlgn val="ctr"/>
        <c:lblOffset val="100"/>
        <c:noMultiLvlLbl val="0"/>
      </c:catAx>
      <c:valAx>
        <c:axId val="92473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91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25</xdr:row>
      <xdr:rowOff>110160</xdr:rowOff>
    </xdr:from>
    <xdr:to>
      <xdr:col>8</xdr:col>
      <xdr:colOff>465840</xdr:colOff>
      <xdr:row>38</xdr:row>
      <xdr:rowOff>2520</xdr:rowOff>
    </xdr:to>
    <xdr:graphicFrame>
      <xdr:nvGraphicFramePr>
        <xdr:cNvPr id="0" name="Chart 1"/>
        <xdr:cNvGraphicFramePr/>
      </xdr:nvGraphicFramePr>
      <xdr:xfrm>
        <a:off x="5850360" y="64962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26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4" t="s">
        <v>13</v>
      </c>
      <c r="B10" s="4"/>
    </row>
    <row r="11" customFormat="false" ht="26.85" hidden="false" customHeight="false" outlineLevel="0" collapsed="false">
      <c r="A11" s="5" t="s">
        <v>14</v>
      </c>
      <c r="B11" s="6" t="s">
        <v>15</v>
      </c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15" hidden="false" customHeight="false" outlineLevel="0" collapsed="false">
      <c r="A13" s="5" t="s">
        <v>18</v>
      </c>
      <c r="B13" s="6" t="s">
        <v>19</v>
      </c>
    </row>
    <row r="14" customFormat="false" ht="26.85" hidden="false" customHeight="false" outlineLevel="0" collapsed="false">
      <c r="A14" s="5" t="s">
        <v>20</v>
      </c>
      <c r="B14" s="6" t="s">
        <v>21</v>
      </c>
    </row>
    <row r="15" customFormat="false" ht="26.8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2"/>
      <c r="B24" s="2"/>
    </row>
    <row r="25" customFormat="false" ht="15" hidden="false" customHeight="true" outlineLevel="0" collapsed="false">
      <c r="A25" s="9" t="s">
        <v>38</v>
      </c>
      <c r="B25" s="9"/>
    </row>
    <row r="26" customFormat="false" ht="15" hidden="false" customHeight="false" outlineLevel="0" collapsed="false">
      <c r="A26" s="9"/>
      <c r="B26" s="9"/>
    </row>
  </sheetData>
  <mergeCells count="3">
    <mergeCell ref="A4:B4"/>
    <mergeCell ref="A10:B10"/>
    <mergeCell ref="A25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39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10" t="s">
        <v>41</v>
      </c>
      <c r="C4" s="11" t="s">
        <v>42</v>
      </c>
      <c r="D4" s="11"/>
      <c r="E4" s="11"/>
      <c r="F4" s="2"/>
      <c r="G4" s="2"/>
      <c r="H4" s="2"/>
    </row>
    <row r="5" customFormat="false" ht="15" hidden="false" customHeight="false" outlineLevel="0" collapsed="false">
      <c r="A5" s="2"/>
      <c r="B5" s="10" t="s">
        <v>11</v>
      </c>
      <c r="C5" s="12" t="n">
        <f aca="true">TODAY()</f>
        <v>46303</v>
      </c>
      <c r="D5" s="2"/>
      <c r="E5" s="2"/>
      <c r="F5" s="2"/>
      <c r="G5" s="2"/>
      <c r="H5" s="2"/>
    </row>
    <row r="6" customFormat="false" ht="26.85" hidden="false" customHeight="false" outlineLevel="0" collapsed="false">
      <c r="A6" s="2"/>
      <c r="B6" s="10" t="s">
        <v>43</v>
      </c>
      <c r="C6" s="13" t="n">
        <v>400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31.5" hidden="false" customHeight="true" outlineLevel="0" collapsed="false">
      <c r="A8" s="14" t="s">
        <v>44</v>
      </c>
      <c r="B8" s="14" t="s">
        <v>45</v>
      </c>
      <c r="C8" s="14" t="s">
        <v>46</v>
      </c>
      <c r="D8" s="14" t="s">
        <v>47</v>
      </c>
      <c r="E8" s="14" t="s">
        <v>48</v>
      </c>
      <c r="F8" s="14" t="s">
        <v>49</v>
      </c>
      <c r="G8" s="14" t="s">
        <v>50</v>
      </c>
      <c r="H8" s="14" t="s">
        <v>51</v>
      </c>
    </row>
    <row r="9" customFormat="false" ht="15" hidden="false" customHeight="false" outlineLevel="0" collapsed="false">
      <c r="A9" s="15" t="n">
        <v>1</v>
      </c>
      <c r="B9" s="16" t="s">
        <v>52</v>
      </c>
      <c r="C9" s="17" t="s">
        <v>53</v>
      </c>
      <c r="D9" s="18" t="n">
        <f aca="false">IFERROR((COUNT('Incident Log'!B5:B64)-COUNTIF('Incident Log'!H5:H64,"Near miss"))/C6*100,"")</f>
        <v>0.5</v>
      </c>
      <c r="E9" s="19" t="n">
        <v>0.5</v>
      </c>
      <c r="F9" s="15" t="s">
        <v>54</v>
      </c>
      <c r="G9" s="20" t="str">
        <f aca="false">IF(D9="","No data",IF(D9&lt;=E9,"On target","Action needed"))</f>
        <v>On target</v>
      </c>
      <c r="H9" s="21" t="s">
        <v>55</v>
      </c>
    </row>
    <row r="10" customFormat="false" ht="15" hidden="false" customHeight="false" outlineLevel="0" collapsed="false">
      <c r="A10" s="15" t="n">
        <v>2</v>
      </c>
      <c r="B10" s="16" t="s">
        <v>56</v>
      </c>
      <c r="C10" s="17" t="s">
        <v>57</v>
      </c>
      <c r="D10" s="18" t="n">
        <f aca="false">IFERROR(COUNTIF('Incident Log'!H5:H64,"Near miss")/C6*100,"")</f>
        <v>0.25</v>
      </c>
      <c r="E10" s="19" t="n">
        <v>0.25</v>
      </c>
      <c r="F10" s="15" t="s">
        <v>58</v>
      </c>
      <c r="G10" s="20" t="str">
        <f aca="false">IF(D10="","No data",IF(D10&gt;=E10,"On target",IF(D10&gt;=E10*0.9,"Watch","Action needed")))</f>
        <v>On target</v>
      </c>
      <c r="H10" s="21" t="s">
        <v>59</v>
      </c>
    </row>
    <row r="11" customFormat="false" ht="26.85" hidden="false" customHeight="false" outlineLevel="0" collapsed="false">
      <c r="A11" s="15" t="n">
        <v>3</v>
      </c>
      <c r="B11" s="16" t="s">
        <v>60</v>
      </c>
      <c r="C11" s="17" t="s">
        <v>61</v>
      </c>
      <c r="D11" s="22" t="n">
        <f aca="false">IFERROR(AVERAGE('Incident Log'!E5:E64),"")</f>
        <v>3.33333333333333</v>
      </c>
      <c r="E11" s="23" t="n">
        <v>2</v>
      </c>
      <c r="F11" s="15" t="s">
        <v>54</v>
      </c>
      <c r="G11" s="20" t="str">
        <f aca="false">IF(D11="","No data",IF(D11&lt;=E11,"On target","Action needed"))</f>
        <v>Action needed</v>
      </c>
      <c r="H11" s="21" t="s">
        <v>62</v>
      </c>
    </row>
    <row r="12" customFormat="false" ht="26.85" hidden="false" customHeight="false" outlineLevel="0" collapsed="false">
      <c r="A12" s="15" t="n">
        <v>4</v>
      </c>
      <c r="B12" s="16" t="s">
        <v>63</v>
      </c>
      <c r="C12" s="17" t="s">
        <v>64</v>
      </c>
      <c r="D12" s="24" t="n">
        <f aca="false">IFERROR((COUNTIF('Inspection Schedule'!G5:G154,"Completed")+COUNTIF('Inspection Schedule'!G5:G154,"Completed – failed"))/(COUNTIF('Inspection Schedule'!G5:G154,"Completed")+COUNTIF('Inspection Schedule'!G5:G154,"Completed – failed")+COUNTIF('Inspection Schedule'!G5:G154,"Missed")),"")</f>
        <v>0.8</v>
      </c>
      <c r="E12" s="25" t="n">
        <v>0.95</v>
      </c>
      <c r="F12" s="15" t="s">
        <v>58</v>
      </c>
      <c r="G12" s="20" t="str">
        <f aca="false">IF(D12="","No data",IF(D12&gt;=E12,"On target",IF(D12&gt;=E12*0.9,"Watch","Action needed")))</f>
        <v>Action needed</v>
      </c>
      <c r="H12" s="21" t="s">
        <v>65</v>
      </c>
    </row>
    <row r="13" customFormat="false" ht="26.85" hidden="false" customHeight="false" outlineLevel="0" collapsed="false">
      <c r="A13" s="15" t="n">
        <v>5</v>
      </c>
      <c r="B13" s="16" t="s">
        <v>66</v>
      </c>
      <c r="C13" s="17" t="s">
        <v>67</v>
      </c>
      <c r="D13" s="24" t="n">
        <f aca="false">IFERROR(COUNTIF('Training Records'!I5:I154,"Current")/COUNTIF('Training Records'!D5:D154,"Yes"),"")</f>
        <v>0.25</v>
      </c>
      <c r="E13" s="25" t="n">
        <v>1</v>
      </c>
      <c r="F13" s="15" t="s">
        <v>58</v>
      </c>
      <c r="G13" s="20" t="str">
        <f aca="false">IF(D13="","No data",IF(D13&gt;=E13,"On target",IF(D13&gt;=E13*0.9,"Watch","Action needed")))</f>
        <v>Action needed</v>
      </c>
      <c r="H13" s="21" t="s">
        <v>68</v>
      </c>
    </row>
    <row r="14" customFormat="false" ht="26.85" hidden="false" customHeight="false" outlineLevel="0" collapsed="false">
      <c r="A14" s="15" t="n">
        <v>6</v>
      </c>
      <c r="B14" s="16" t="s">
        <v>69</v>
      </c>
      <c r="C14" s="17" t="s">
        <v>70</v>
      </c>
      <c r="D14" s="24" t="n">
        <f aca="false">IFERROR(COUNTIFS('CAPA Register'!F5:F64,"&lt;="&amp;C5,'CAPA Register'!K5:K64,"Closed")/COUNTIFS('CAPA Register'!F5:F64,"&lt;="&amp;C5),"")</f>
        <v>0.5</v>
      </c>
      <c r="E14" s="25" t="n">
        <v>0.95</v>
      </c>
      <c r="F14" s="15" t="s">
        <v>58</v>
      </c>
      <c r="G14" s="20" t="str">
        <f aca="false">IF(D14="","No data",IF(D14&gt;=E14,"On target",IF(D14&gt;=E14*0.9,"Watch","Action needed")))</f>
        <v>Action needed</v>
      </c>
      <c r="H14" s="21" t="s">
        <v>65</v>
      </c>
    </row>
    <row r="15" customFormat="false" ht="26.85" hidden="false" customHeight="false" outlineLevel="0" collapsed="false">
      <c r="A15" s="15" t="n">
        <v>7</v>
      </c>
      <c r="B15" s="16" t="s">
        <v>71</v>
      </c>
      <c r="C15" s="17" t="s">
        <v>72</v>
      </c>
      <c r="D15" s="24" t="n">
        <f aca="false">IFERROR(COUNTIF('Drill Register'!H5:H34,"Completed")/(COUNTIF('Drill Register'!H5:H34,"Completed")+COUNTIF('Drill Register'!H5:H34,"Missed")),"")</f>
        <v>0.5</v>
      </c>
      <c r="E15" s="25" t="n">
        <v>1</v>
      </c>
      <c r="F15" s="15" t="s">
        <v>58</v>
      </c>
      <c r="G15" s="20" t="str">
        <f aca="false">IF(D15="","No data",IF(D15&gt;=E15,"On target",IF(D15&gt;=E15*0.9,"Watch","Action needed")))</f>
        <v>Action needed</v>
      </c>
      <c r="H15" s="21" t="s">
        <v>68</v>
      </c>
    </row>
    <row r="16" customFormat="false" ht="26.85" hidden="false" customHeight="false" outlineLevel="0" collapsed="false">
      <c r="A16" s="15" t="n">
        <v>8</v>
      </c>
      <c r="B16" s="16" t="s">
        <v>73</v>
      </c>
      <c r="C16" s="17" t="s">
        <v>74</v>
      </c>
      <c r="D16" s="24" t="n">
        <f aca="false">IFERROR(COUNTIF('Incident Log'!T5:T64,"Yes")/COUNT('Incident Log'!B5:B64),"")</f>
        <v>0.333333333333333</v>
      </c>
      <c r="E16" s="25" t="n">
        <v>0</v>
      </c>
      <c r="F16" s="15" t="s">
        <v>54</v>
      </c>
      <c r="G16" s="20" t="str">
        <f aca="false">IF(D16="","No data",IF(D16&lt;=E16,"On target","Action needed"))</f>
        <v>Action needed</v>
      </c>
      <c r="H16" s="21" t="s">
        <v>75</v>
      </c>
    </row>
    <row r="17" customFormat="false" ht="26.85" hidden="false" customHeight="false" outlineLevel="0" collapsed="false">
      <c r="A17" s="15" t="n">
        <v>9</v>
      </c>
      <c r="B17" s="16" t="s">
        <v>76</v>
      </c>
      <c r="C17" s="17" t="s">
        <v>77</v>
      </c>
      <c r="D17" s="24" t="n">
        <f aca="false">IFERROR(COUNTIF('LOTO Register'!N5:N64,"Compliant")/COUNTA('LOTO Register'!C5:C64),"")</f>
        <v>0.5</v>
      </c>
      <c r="E17" s="25" t="n">
        <v>1</v>
      </c>
      <c r="F17" s="15" t="s">
        <v>58</v>
      </c>
      <c r="G17" s="20" t="str">
        <f aca="false">IF(D17="","No data",IF(D17&gt;=E17,"On target",IF(D17&gt;=E17*0.9,"Watch","Action needed")))</f>
        <v>Action needed</v>
      </c>
      <c r="H17" s="21" t="s">
        <v>78</v>
      </c>
    </row>
    <row r="18" customFormat="false" ht="15" hidden="false" customHeight="false" outlineLevel="0" collapsed="false">
      <c r="A18" s="2"/>
      <c r="B18" s="26" t="s">
        <v>79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14" t="s">
        <v>80</v>
      </c>
      <c r="C20" s="14" t="s">
        <v>81</v>
      </c>
      <c r="D20" s="14" t="s">
        <v>82</v>
      </c>
      <c r="E20" s="2"/>
      <c r="F20" s="2"/>
      <c r="G20" s="2"/>
      <c r="H20" s="2"/>
    </row>
    <row r="21" customFormat="false" ht="15" hidden="false" customHeight="false" outlineLevel="0" collapsed="false">
      <c r="A21" s="2"/>
      <c r="B21" s="6" t="s">
        <v>83</v>
      </c>
      <c r="C21" s="17" t="s">
        <v>22</v>
      </c>
      <c r="D21" s="27" t="n">
        <f aca="false">COUNTIF('CAPA Register'!K5:K64,"Overdue")</f>
        <v>1</v>
      </c>
      <c r="E21" s="2"/>
      <c r="F21" s="2"/>
      <c r="G21" s="2"/>
      <c r="H21" s="2"/>
    </row>
    <row r="22" customFormat="false" ht="26.85" hidden="false" customHeight="false" outlineLevel="0" collapsed="false">
      <c r="A22" s="2"/>
      <c r="B22" s="6" t="s">
        <v>84</v>
      </c>
      <c r="C22" s="17" t="s">
        <v>22</v>
      </c>
      <c r="D22" s="27" t="n">
        <f aca="false">COUNTIF('CAPA Register'!K5:K64,"Awaiting verification")</f>
        <v>0</v>
      </c>
      <c r="E22" s="2"/>
      <c r="F22" s="2"/>
      <c r="G22" s="2"/>
      <c r="H22" s="2"/>
    </row>
    <row r="23" customFormat="false" ht="15" hidden="false" customHeight="false" outlineLevel="0" collapsed="false">
      <c r="A23" s="2"/>
      <c r="B23" s="6" t="s">
        <v>85</v>
      </c>
      <c r="C23" s="17" t="s">
        <v>20</v>
      </c>
      <c r="D23" s="27" t="n">
        <f aca="false">COUNTIF('Incident Log'!M5:M64,"Level 3 – Major")+COUNTIF('Incident Log'!M5:M64,"Level 4 – Critical")</f>
        <v>0</v>
      </c>
      <c r="E23" s="2"/>
      <c r="F23" s="2"/>
      <c r="G23" s="2"/>
      <c r="H23" s="2"/>
    </row>
    <row r="24" customFormat="false" ht="15" hidden="false" customHeight="false" outlineLevel="0" collapsed="false">
      <c r="A24" s="2"/>
      <c r="B24" s="6" t="s">
        <v>86</v>
      </c>
      <c r="C24" s="17" t="s">
        <v>20</v>
      </c>
      <c r="D24" s="27" t="n">
        <f aca="false">COUNTIF('Incident Log'!N5:N64,"No")</f>
        <v>0</v>
      </c>
      <c r="E24" s="2"/>
      <c r="F24" s="2"/>
      <c r="G24" s="2"/>
      <c r="H24" s="2"/>
    </row>
    <row r="25" customFormat="false" ht="15" hidden="false" customHeight="false" outlineLevel="0" collapsed="false">
      <c r="A25" s="2"/>
      <c r="B25" s="6" t="s">
        <v>87</v>
      </c>
      <c r="C25" s="17" t="s">
        <v>20</v>
      </c>
      <c r="D25" s="27" t="n">
        <f aca="false">COUNTIFS('Incident Log'!O5:O64,"No",'Incident Log'!L5:L64,"&lt;&gt;None")</f>
        <v>0</v>
      </c>
      <c r="E25" s="2"/>
      <c r="F25" s="2"/>
      <c r="G25" s="2"/>
      <c r="H25" s="2"/>
    </row>
    <row r="26" customFormat="false" ht="15" hidden="false" customHeight="false" outlineLevel="0" collapsed="false">
      <c r="A26" s="2"/>
      <c r="B26" s="6" t="s">
        <v>88</v>
      </c>
      <c r="C26" s="17" t="s">
        <v>24</v>
      </c>
      <c r="D26" s="27" t="n">
        <f aca="false">COUNTIF('LOTO Register'!O5:O64,"Active")</f>
        <v>1</v>
      </c>
      <c r="E26" s="2"/>
      <c r="F26" s="2"/>
      <c r="G26" s="2"/>
      <c r="H26" s="2"/>
    </row>
    <row r="27" customFormat="false" ht="15" hidden="false" customHeight="false" outlineLevel="0" collapsed="false">
      <c r="A27" s="2"/>
      <c r="B27" s="6" t="s">
        <v>89</v>
      </c>
      <c r="C27" s="17" t="s">
        <v>24</v>
      </c>
      <c r="D27" s="27" t="n">
        <f aca="false">COUNTIF('LOTO Register'!N5:N64,"Non-compliant")</f>
        <v>1</v>
      </c>
      <c r="E27" s="2"/>
      <c r="F27" s="2"/>
      <c r="G27" s="2"/>
      <c r="H27" s="2"/>
    </row>
    <row r="28" customFormat="false" ht="15" hidden="false" customHeight="false" outlineLevel="0" collapsed="false">
      <c r="A28" s="2"/>
      <c r="B28" s="6" t="s">
        <v>90</v>
      </c>
      <c r="C28" s="17" t="s">
        <v>26</v>
      </c>
      <c r="D28" s="27" t="n">
        <f aca="false">COUNTIF('Inspection Schedule'!G5:G154,"Missed")</f>
        <v>1</v>
      </c>
      <c r="E28" s="2"/>
      <c r="F28" s="2"/>
      <c r="G28" s="2"/>
      <c r="H28" s="2"/>
    </row>
    <row r="29" customFormat="false" ht="15" hidden="false" customHeight="false" outlineLevel="0" collapsed="false">
      <c r="A29" s="2"/>
      <c r="B29" s="6" t="s">
        <v>91</v>
      </c>
      <c r="C29" s="17" t="s">
        <v>26</v>
      </c>
      <c r="D29" s="27" t="n">
        <f aca="false">COUNTIF('Inspection Schedule'!F5:F154,"Fail")</f>
        <v>1</v>
      </c>
      <c r="E29" s="2"/>
      <c r="F29" s="2"/>
      <c r="G29" s="2"/>
      <c r="H29" s="2"/>
    </row>
    <row r="30" customFormat="false" ht="26.85" hidden="false" customHeight="false" outlineLevel="0" collapsed="false">
      <c r="A30" s="2"/>
      <c r="B30" s="6" t="s">
        <v>92</v>
      </c>
      <c r="C30" s="17" t="s">
        <v>32</v>
      </c>
      <c r="D30" s="27" t="n">
        <f aca="false">COUNTIF('Training Records'!I5:I154,"Expired")+COUNTIF('Training Records'!I5:I154,"Expiring")+COUNTIF('Training Records'!I5:I154,"Not trained")</f>
        <v>3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6" t="s">
        <v>93</v>
      </c>
      <c r="C31" s="17" t="s">
        <v>34</v>
      </c>
      <c r="D31" s="27" t="n">
        <f aca="false">COUNTIF('Drill Register'!H5:H34,"Missed")</f>
        <v>1</v>
      </c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14" t="s">
        <v>94</v>
      </c>
      <c r="C34" s="14" t="s">
        <v>95</v>
      </c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6" t="s">
        <v>96</v>
      </c>
      <c r="C35" s="27" t="n">
        <f aca="false">COUNTIF('Incident Log'!M5:M64,B35)</f>
        <v>1</v>
      </c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6" t="s">
        <v>97</v>
      </c>
      <c r="C36" s="27" t="n">
        <f aca="false">COUNTIF('Incident Log'!M5:M64,B36)</f>
        <v>2</v>
      </c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6" t="s">
        <v>98</v>
      </c>
      <c r="C37" s="27" t="n">
        <f aca="false">COUNTIF('Incident Log'!M5:M64,B37)</f>
        <v>0</v>
      </c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6" t="s">
        <v>99</v>
      </c>
      <c r="C38" s="27" t="n">
        <f aca="false">COUNTIF('Incident Log'!M5:M64,B38)</f>
        <v>0</v>
      </c>
      <c r="D38" s="2"/>
      <c r="E38" s="2"/>
      <c r="F38" s="2"/>
      <c r="G38" s="2"/>
      <c r="H38" s="2"/>
    </row>
  </sheetData>
  <mergeCells count="1">
    <mergeCell ref="C4:E4"/>
  </mergeCells>
  <conditionalFormatting sqref="G9:G17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1">
      <formula>"No data"</formula>
    </cfRule>
    <cfRule type="cellIs" priority="5" operator="equal" aboveAverage="0" equalAverage="0" bottom="0" percent="0" rank="0" text="" dxfId="2">
      <formula>"Action needed"</formula>
    </cfRule>
  </conditionalFormatting>
  <conditionalFormatting sqref="D21:D31">
    <cfRule type="cellIs" priority="6" operator="greaterThan" aboveAverage="0" equalAverage="0" bottom="0" percent="0" rank="0" text="" dxfId="2">
      <formula>0</formula>
    </cfRule>
    <cfRule type="cellIs" priority="7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" t="s">
        <v>100</v>
      </c>
      <c r="B1" s="2"/>
      <c r="C1" s="2"/>
      <c r="D1" s="2"/>
    </row>
    <row r="2" customFormat="false" ht="15" hidden="false" customHeight="false" outlineLevel="0" collapsed="false">
      <c r="A2" s="3" t="s">
        <v>101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1.5" hidden="false" customHeight="true" outlineLevel="0" collapsed="false">
      <c r="A4" s="14" t="s">
        <v>44</v>
      </c>
      <c r="B4" s="14" t="s">
        <v>102</v>
      </c>
      <c r="C4" s="14" t="s">
        <v>103</v>
      </c>
      <c r="D4" s="14" t="s">
        <v>104</v>
      </c>
    </row>
    <row r="5" customFormat="false" ht="15" hidden="false" customHeight="false" outlineLevel="0" collapsed="false">
      <c r="A5" s="15" t="n">
        <v>1</v>
      </c>
      <c r="B5" s="6" t="s">
        <v>105</v>
      </c>
      <c r="C5" s="28" t="s">
        <v>106</v>
      </c>
      <c r="D5" s="29" t="str">
        <f aca="false">IF(C5="Yes","Level 4 – Critical","—")</f>
        <v>—</v>
      </c>
    </row>
    <row r="6" customFormat="false" ht="15" hidden="false" customHeight="false" outlineLevel="0" collapsed="false">
      <c r="A6" s="15" t="n">
        <v>2</v>
      </c>
      <c r="B6" s="6" t="s">
        <v>107</v>
      </c>
      <c r="C6" s="28" t="s">
        <v>106</v>
      </c>
      <c r="D6" s="29" t="str">
        <f aca="false">IF(C6="Yes","Level 4 – Critical","—")</f>
        <v>—</v>
      </c>
    </row>
    <row r="7" customFormat="false" ht="15" hidden="false" customHeight="false" outlineLevel="0" collapsed="false">
      <c r="A7" s="15" t="n">
        <v>3</v>
      </c>
      <c r="B7" s="6" t="s">
        <v>108</v>
      </c>
      <c r="C7" s="28" t="s">
        <v>106</v>
      </c>
      <c r="D7" s="29" t="str">
        <f aca="false">IF(C7="Yes","Level 4 – Critical","—")</f>
        <v>—</v>
      </c>
    </row>
    <row r="8" customFormat="false" ht="15" hidden="false" customHeight="false" outlineLevel="0" collapsed="false">
      <c r="A8" s="15" t="n">
        <v>4</v>
      </c>
      <c r="B8" s="6" t="s">
        <v>109</v>
      </c>
      <c r="C8" s="28" t="s">
        <v>106</v>
      </c>
      <c r="D8" s="29" t="str">
        <f aca="false">IF(C8="Yes","Level 3 – Major","—")</f>
        <v>—</v>
      </c>
    </row>
    <row r="9" customFormat="false" ht="15" hidden="false" customHeight="false" outlineLevel="0" collapsed="false">
      <c r="A9" s="15" t="n">
        <v>5</v>
      </c>
      <c r="B9" s="6" t="s">
        <v>110</v>
      </c>
      <c r="C9" s="28" t="s">
        <v>106</v>
      </c>
      <c r="D9" s="29" t="str">
        <f aca="false">IF(C9="Yes","Level 3 – Major","—")</f>
        <v>—</v>
      </c>
    </row>
    <row r="10" customFormat="false" ht="15" hidden="false" customHeight="false" outlineLevel="0" collapsed="false">
      <c r="A10" s="15" t="n">
        <v>6</v>
      </c>
      <c r="B10" s="6" t="s">
        <v>111</v>
      </c>
      <c r="C10" s="28" t="s">
        <v>106</v>
      </c>
      <c r="D10" s="29" t="str">
        <f aca="false">IF(C10="Yes","Level 3 – Major","—")</f>
        <v>—</v>
      </c>
    </row>
    <row r="11" customFormat="false" ht="15" hidden="false" customHeight="false" outlineLevel="0" collapsed="false">
      <c r="A11" s="15" t="n">
        <v>7</v>
      </c>
      <c r="B11" s="6" t="s">
        <v>112</v>
      </c>
      <c r="C11" s="28" t="s">
        <v>113</v>
      </c>
      <c r="D11" s="29" t="str">
        <f aca="false">IF(C11="Yes","Level 2 – Significant","—")</f>
        <v>Level 2 – Significant</v>
      </c>
    </row>
    <row r="12" customFormat="false" ht="15" hidden="false" customHeight="false" outlineLevel="0" collapsed="false">
      <c r="A12" s="15" t="n">
        <v>8</v>
      </c>
      <c r="B12" s="6" t="s">
        <v>114</v>
      </c>
      <c r="C12" s="28" t="s">
        <v>113</v>
      </c>
      <c r="D12" s="29" t="str">
        <f aca="false">IF(C12="Yes","Level 2 – Significant","—")</f>
        <v>Level 2 – Significant</v>
      </c>
    </row>
    <row r="13" customFormat="false" ht="15" hidden="false" customHeight="false" outlineLevel="0" collapsed="false">
      <c r="A13" s="15" t="n">
        <v>9</v>
      </c>
      <c r="B13" s="6" t="s">
        <v>115</v>
      </c>
      <c r="C13" s="28" t="s">
        <v>106</v>
      </c>
      <c r="D13" s="29" t="str">
        <f aca="false">IF(C13="Yes","Level 2 – Significant","—")</f>
        <v>—</v>
      </c>
    </row>
    <row r="14" customFormat="false" ht="15" hidden="false" customHeight="false" outlineLevel="0" collapsed="false">
      <c r="A14" s="15" t="n">
        <v>10</v>
      </c>
      <c r="B14" s="6" t="s">
        <v>116</v>
      </c>
      <c r="C14" s="28" t="s">
        <v>106</v>
      </c>
      <c r="D14" s="29" t="str">
        <f aca="false">IF(C14="Yes","Bypass – call emergency services now","—")</f>
        <v>—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10" t="s">
        <v>117</v>
      </c>
      <c r="C16" s="30" t="n">
        <f aca="false">COUNTBLANK(C5:C14)</f>
        <v>0</v>
      </c>
      <c r="D16" s="30"/>
    </row>
    <row r="17" customFormat="false" ht="15" hidden="false" customHeight="false" outlineLevel="0" collapsed="false">
      <c r="A17" s="2"/>
      <c r="B17" s="10" t="s">
        <v>94</v>
      </c>
      <c r="C17" s="29" t="str">
        <f aca="false">IF(C16&gt;0,"Complete all questions",IF(COUNTIF(C5:C7,"Yes")&gt;0,"Level 4 – Critical",IF(COUNTIF(C8:C10,"Yes")&gt;0,"Level 3 – Major",IF(COUNTIF(C11:C13,"Yes")&gt;0,"Level 2 – Significant","Level 1 – Minor"))))</f>
        <v>Level 2 – Significant</v>
      </c>
      <c r="D17" s="29"/>
    </row>
    <row r="18" customFormat="false" ht="26.85" hidden="false" customHeight="false" outlineLevel="0" collapsed="false">
      <c r="A18" s="2"/>
      <c r="B18" s="10" t="s">
        <v>118</v>
      </c>
      <c r="C18" s="30" t="str">
        <f aca="false">IF(C16&gt;0,"",IF(C17="Level 4 – Critical","Institutional CMC + Head of Institution + Emergency/Statutory Authorities",IF(C17="Level 3 – Major","Crisis Coordinator + Crisis Management Committee + Head of Institution",IF(C17="Level 2 – Significant","Laboratory/Workshop Supervisor + Safety Officer","Local correction and maintenance reporting"))))</f>
        <v>Laboratory/Workshop Supervisor + Safety Officer</v>
      </c>
      <c r="D18" s="30"/>
    </row>
    <row r="19" customFormat="false" ht="15" hidden="false" customHeight="false" outlineLevel="0" collapsed="false">
      <c r="A19" s="2"/>
      <c r="B19" s="10" t="s">
        <v>119</v>
      </c>
      <c r="C19" s="29" t="str">
        <f aca="false">IF(C16&gt;0,"",IF(OR(C14="Yes",C17="Level 4 – Critical",C17="Level 3 – Major"),"YES – call medical/emergency services immediately (bypass levels)","As needed – follow standard reporting"))</f>
        <v>As needed – follow standard reporting</v>
      </c>
      <c r="D19" s="29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6" t="s">
        <v>120</v>
      </c>
      <c r="C21" s="2"/>
      <c r="D21" s="2"/>
    </row>
  </sheetData>
  <mergeCells count="4">
    <mergeCell ref="C16:D16"/>
    <mergeCell ref="C17:D17"/>
    <mergeCell ref="C18:D18"/>
    <mergeCell ref="C19:D19"/>
  </mergeCells>
  <conditionalFormatting sqref="C5:D5">
    <cfRule type="expression" priority="2" aboveAverage="0" equalAverage="0" bottom="0" percent="0" rank="0" text="" dxfId="2">
      <formula>$C5="Yes"</formula>
    </cfRule>
  </conditionalFormatting>
  <conditionalFormatting sqref="C6:D6">
    <cfRule type="expression" priority="3" aboveAverage="0" equalAverage="0" bottom="0" percent="0" rank="0" text="" dxfId="2">
      <formula>$C6="Yes"</formula>
    </cfRule>
  </conditionalFormatting>
  <conditionalFormatting sqref="C7:D7">
    <cfRule type="expression" priority="4" aboveAverage="0" equalAverage="0" bottom="0" percent="0" rank="0" text="" dxfId="2">
      <formula>$C7="Yes"</formula>
    </cfRule>
  </conditionalFormatting>
  <conditionalFormatting sqref="C8:D8">
    <cfRule type="expression" priority="5" aboveAverage="0" equalAverage="0" bottom="0" percent="0" rank="0" text="" dxfId="2">
      <formula>$C8="Yes"</formula>
    </cfRule>
  </conditionalFormatting>
  <conditionalFormatting sqref="C9:D9">
    <cfRule type="expression" priority="6" aboveAverage="0" equalAverage="0" bottom="0" percent="0" rank="0" text="" dxfId="2">
      <formula>$C9="Yes"</formula>
    </cfRule>
  </conditionalFormatting>
  <conditionalFormatting sqref="C10:D10">
    <cfRule type="expression" priority="7" aboveAverage="0" equalAverage="0" bottom="0" percent="0" rank="0" text="" dxfId="2">
      <formula>$C10="Yes"</formula>
    </cfRule>
  </conditionalFormatting>
  <conditionalFormatting sqref="C11:D11">
    <cfRule type="expression" priority="8" aboveAverage="0" equalAverage="0" bottom="0" percent="0" rank="0" text="" dxfId="1">
      <formula>$C11="Yes"</formula>
    </cfRule>
  </conditionalFormatting>
  <conditionalFormatting sqref="C12:D12">
    <cfRule type="expression" priority="9" aboveAverage="0" equalAverage="0" bottom="0" percent="0" rank="0" text="" dxfId="1">
      <formula>$C12="Yes"</formula>
    </cfRule>
  </conditionalFormatting>
  <conditionalFormatting sqref="C13:D13">
    <cfRule type="expression" priority="10" aboveAverage="0" equalAverage="0" bottom="0" percent="0" rank="0" text="" dxfId="1">
      <formula>$C13="Yes"</formula>
    </cfRule>
  </conditionalFormatting>
  <conditionalFormatting sqref="C14:D14">
    <cfRule type="expression" priority="11" aboveAverage="0" equalAverage="0" bottom="0" percent="0" rank="0" text="" dxfId="2">
      <formula>$C14="Yes"</formula>
    </cfRule>
  </conditionalFormatting>
  <conditionalFormatting sqref="C17">
    <cfRule type="cellIs" priority="12" operator="equal" aboveAverage="0" equalAverage="0" bottom="0" percent="0" rank="0" text="" dxfId="0">
      <formula>"Level 1 – Minor"</formula>
    </cfRule>
    <cfRule type="cellIs" priority="13" operator="equal" aboveAverage="0" equalAverage="0" bottom="0" percent="0" rank="0" text="" dxfId="1">
      <formula>"Level 2 – Significant"</formula>
    </cfRule>
    <cfRule type="cellIs" priority="14" operator="equal" aboveAverage="0" equalAverage="0" bottom="0" percent="0" rank="0" text="" dxfId="1">
      <formula>"Complete all questions"</formula>
    </cfRule>
    <cfRule type="cellIs" priority="15" operator="equal" aboveAverage="0" equalAverage="0" bottom="0" percent="0" rank="0" text="" dxfId="2">
      <formula>"Level 3 – Major"</formula>
    </cfRule>
    <cfRule type="cellIs" priority="16" operator="equal" aboveAverage="0" equalAverage="0" bottom="0" percent="0" rank="0" text="" dxfId="3">
      <formula>"Level 4 – Critical"</formula>
    </cfRule>
  </conditionalFormatting>
  <conditionalFormatting sqref="C19">
    <cfRule type="expression" priority="17" aboveAverage="0" equalAverage="0" bottom="0" percent="0" rank="0" text="" dxfId="3">
      <formula>LEFT(C19,3)="YES"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5:C1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121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122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true" outlineLevel="0" collapsed="false">
      <c r="A4" s="10" t="s">
        <v>123</v>
      </c>
      <c r="B4" s="11" t="s">
        <v>124</v>
      </c>
      <c r="C4" s="11"/>
      <c r="D4" s="2"/>
      <c r="E4" s="2"/>
    </row>
    <row r="5" customFormat="false" ht="15" hidden="false" customHeight="true" outlineLevel="0" collapsed="false">
      <c r="A5" s="10" t="s">
        <v>125</v>
      </c>
      <c r="B5" s="11" t="s">
        <v>126</v>
      </c>
      <c r="C5" s="11"/>
      <c r="D5" s="2"/>
      <c r="E5" s="2"/>
    </row>
    <row r="6" customFormat="false" ht="15" hidden="false" customHeight="false" outlineLevel="0" collapsed="false">
      <c r="A6" s="10" t="s">
        <v>127</v>
      </c>
      <c r="B6" s="12" t="n">
        <v>46283</v>
      </c>
      <c r="C6" s="12"/>
      <c r="D6" s="2"/>
      <c r="E6" s="2"/>
    </row>
    <row r="7" customFormat="false" ht="26.85" hidden="false" customHeight="true" outlineLevel="0" collapsed="false">
      <c r="A7" s="10" t="s">
        <v>128</v>
      </c>
      <c r="B7" s="11" t="s">
        <v>129</v>
      </c>
      <c r="C7" s="11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31.5" hidden="false" customHeight="true" outlineLevel="0" collapsed="false">
      <c r="A9" s="14" t="s">
        <v>44</v>
      </c>
      <c r="B9" s="14" t="s">
        <v>130</v>
      </c>
      <c r="C9" s="14" t="s">
        <v>131</v>
      </c>
      <c r="D9" s="14" t="s">
        <v>132</v>
      </c>
      <c r="E9" s="14" t="s">
        <v>133</v>
      </c>
    </row>
    <row r="10" customFormat="false" ht="15" hidden="false" customHeight="false" outlineLevel="0" collapsed="false">
      <c r="A10" s="15" t="n">
        <v>1</v>
      </c>
      <c r="B10" s="6" t="s">
        <v>134</v>
      </c>
      <c r="C10" s="28" t="s">
        <v>113</v>
      </c>
      <c r="D10" s="31"/>
      <c r="E10" s="11"/>
    </row>
    <row r="11" customFormat="false" ht="15" hidden="false" customHeight="false" outlineLevel="0" collapsed="false">
      <c r="A11" s="15" t="n">
        <v>2</v>
      </c>
      <c r="B11" s="6" t="s">
        <v>135</v>
      </c>
      <c r="C11" s="28" t="s">
        <v>113</v>
      </c>
      <c r="D11" s="31"/>
      <c r="E11" s="11"/>
    </row>
    <row r="12" customFormat="false" ht="15" hidden="false" customHeight="false" outlineLevel="0" collapsed="false">
      <c r="A12" s="15" t="n">
        <v>3</v>
      </c>
      <c r="B12" s="6" t="s">
        <v>136</v>
      </c>
      <c r="C12" s="28" t="s">
        <v>113</v>
      </c>
      <c r="D12" s="31"/>
      <c r="E12" s="11"/>
    </row>
    <row r="13" customFormat="false" ht="15" hidden="false" customHeight="false" outlineLevel="0" collapsed="false">
      <c r="A13" s="15" t="n">
        <v>4</v>
      </c>
      <c r="B13" s="6" t="s">
        <v>137</v>
      </c>
      <c r="C13" s="28" t="s">
        <v>113</v>
      </c>
      <c r="D13" s="31"/>
      <c r="E13" s="11"/>
    </row>
    <row r="14" customFormat="false" ht="15" hidden="false" customHeight="false" outlineLevel="0" collapsed="false">
      <c r="A14" s="15" t="n">
        <v>5</v>
      </c>
      <c r="B14" s="6" t="s">
        <v>138</v>
      </c>
      <c r="C14" s="28" t="s">
        <v>113</v>
      </c>
      <c r="D14" s="31"/>
      <c r="E14" s="11"/>
    </row>
    <row r="15" customFormat="false" ht="15" hidden="false" customHeight="false" outlineLevel="0" collapsed="false">
      <c r="A15" s="15" t="n">
        <v>6</v>
      </c>
      <c r="B15" s="6" t="s">
        <v>139</v>
      </c>
      <c r="C15" s="28" t="s">
        <v>113</v>
      </c>
      <c r="D15" s="31"/>
      <c r="E15" s="11"/>
    </row>
    <row r="16" customFormat="false" ht="15" hidden="false" customHeight="false" outlineLevel="0" collapsed="false">
      <c r="A16" s="15" t="n">
        <v>7</v>
      </c>
      <c r="B16" s="6" t="s">
        <v>140</v>
      </c>
      <c r="C16" s="28" t="s">
        <v>113</v>
      </c>
      <c r="D16" s="31"/>
      <c r="E16" s="11"/>
    </row>
    <row r="17" customFormat="false" ht="15" hidden="false" customHeight="false" outlineLevel="0" collapsed="false">
      <c r="A17" s="15" t="n">
        <v>8</v>
      </c>
      <c r="B17" s="6" t="s">
        <v>141</v>
      </c>
      <c r="C17" s="28" t="s">
        <v>113</v>
      </c>
      <c r="D17" s="31"/>
      <c r="E17" s="11"/>
    </row>
    <row r="18" customFormat="false" ht="15" hidden="false" customHeight="false" outlineLevel="0" collapsed="false">
      <c r="A18" s="15" t="n">
        <v>9</v>
      </c>
      <c r="B18" s="6" t="s">
        <v>142</v>
      </c>
      <c r="C18" s="28" t="s">
        <v>113</v>
      </c>
      <c r="D18" s="31"/>
      <c r="E18" s="11"/>
    </row>
    <row r="19" customFormat="false" ht="15" hidden="false" customHeight="false" outlineLevel="0" collapsed="false">
      <c r="A19" s="15" t="n">
        <v>10</v>
      </c>
      <c r="B19" s="6" t="s">
        <v>143</v>
      </c>
      <c r="C19" s="28" t="s">
        <v>113</v>
      </c>
      <c r="D19" s="31"/>
      <c r="E19" s="11"/>
    </row>
    <row r="20" customFormat="false" ht="15" hidden="false" customHeight="false" outlineLevel="0" collapsed="false">
      <c r="A20" s="15" t="n">
        <v>11</v>
      </c>
      <c r="B20" s="6" t="s">
        <v>144</v>
      </c>
      <c r="C20" s="28" t="s">
        <v>113</v>
      </c>
      <c r="D20" s="31"/>
      <c r="E20" s="11"/>
    </row>
    <row r="21" customFormat="false" ht="15" hidden="false" customHeight="false" outlineLevel="0" collapsed="false">
      <c r="A21" s="15" t="n">
        <v>12</v>
      </c>
      <c r="B21" s="6" t="s">
        <v>145</v>
      </c>
      <c r="C21" s="28" t="s">
        <v>113</v>
      </c>
      <c r="D21" s="31"/>
      <c r="E21" s="11"/>
    </row>
    <row r="22" customFormat="false" ht="15" hidden="false" customHeight="false" outlineLevel="0" collapsed="false">
      <c r="A22" s="15" t="n">
        <v>13</v>
      </c>
      <c r="B22" s="6" t="s">
        <v>146</v>
      </c>
      <c r="C22" s="28" t="s">
        <v>113</v>
      </c>
      <c r="D22" s="31"/>
      <c r="E22" s="11"/>
    </row>
    <row r="23" customFormat="false" ht="15" hidden="false" customHeight="false" outlineLevel="0" collapsed="false">
      <c r="A23" s="15" t="n">
        <v>14</v>
      </c>
      <c r="B23" s="6" t="s">
        <v>147</v>
      </c>
      <c r="C23" s="28" t="s">
        <v>106</v>
      </c>
      <c r="D23" s="31"/>
      <c r="E23" s="11"/>
    </row>
    <row r="24" customFormat="false" ht="15" hidden="false" customHeight="false" outlineLevel="0" collapsed="false">
      <c r="A24" s="15" t="n">
        <v>15</v>
      </c>
      <c r="B24" s="6" t="s">
        <v>148</v>
      </c>
      <c r="C24" s="28" t="s">
        <v>106</v>
      </c>
      <c r="D24" s="31"/>
      <c r="E24" s="11"/>
    </row>
    <row r="25" customFormat="false" ht="15" hidden="false" customHeight="false" outlineLevel="0" collapsed="false">
      <c r="A25" s="15" t="n">
        <v>16</v>
      </c>
      <c r="B25" s="6" t="s">
        <v>149</v>
      </c>
      <c r="C25" s="28" t="s">
        <v>106</v>
      </c>
      <c r="D25" s="31"/>
      <c r="E25" s="11"/>
    </row>
    <row r="26" customFormat="false" ht="15" hidden="false" customHeight="false" outlineLevel="0" collapsed="false">
      <c r="A26" s="15" t="n">
        <v>17</v>
      </c>
      <c r="B26" s="6" t="s">
        <v>150</v>
      </c>
      <c r="C26" s="28" t="s">
        <v>106</v>
      </c>
      <c r="D26" s="31"/>
      <c r="E26" s="11"/>
    </row>
    <row r="27" customFormat="false" ht="15" hidden="false" customHeight="false" outlineLevel="0" collapsed="false">
      <c r="A27" s="15" t="n">
        <v>18</v>
      </c>
      <c r="B27" s="6" t="s">
        <v>151</v>
      </c>
      <c r="C27" s="28" t="s">
        <v>106</v>
      </c>
      <c r="D27" s="31"/>
      <c r="E27" s="11"/>
    </row>
    <row r="28" customFormat="false" ht="15" hidden="false" customHeight="false" outlineLevel="0" collapsed="false">
      <c r="A28" s="15" t="n">
        <v>19</v>
      </c>
      <c r="B28" s="6" t="s">
        <v>152</v>
      </c>
      <c r="C28" s="28" t="s">
        <v>106</v>
      </c>
      <c r="D28" s="31"/>
      <c r="E28" s="11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10" t="s">
        <v>153</v>
      </c>
      <c r="C30" s="27" t="n">
        <f aca="false">COUNTIF(C10:C28,"Yes")</f>
        <v>13</v>
      </c>
      <c r="D30" s="2"/>
      <c r="E30" s="2"/>
    </row>
    <row r="31" customFormat="false" ht="15" hidden="false" customHeight="false" outlineLevel="0" collapsed="false">
      <c r="A31" s="2"/>
      <c r="B31" s="10" t="s">
        <v>154</v>
      </c>
      <c r="C31" s="27" t="n">
        <f aca="false">19-COUNTIF(C10:C28,"N/A")</f>
        <v>19</v>
      </c>
      <c r="D31" s="2"/>
      <c r="E31" s="2"/>
    </row>
    <row r="32" customFormat="false" ht="15" hidden="false" customHeight="false" outlineLevel="0" collapsed="false">
      <c r="A32" s="2"/>
      <c r="B32" s="10" t="s">
        <v>155</v>
      </c>
      <c r="C32" s="32" t="n">
        <f aca="false">IFERROR(C30/C31,"")</f>
        <v>0.68421052631579</v>
      </c>
      <c r="D32" s="2"/>
      <c r="E32" s="2"/>
    </row>
    <row r="33" customFormat="false" ht="15" hidden="false" customHeight="false" outlineLevel="0" collapsed="false">
      <c r="A33" s="2"/>
      <c r="B33" s="10" t="s">
        <v>50</v>
      </c>
      <c r="C33" s="20" t="str">
        <f aca="false">IF(C30=C31,"CLOSED – all steps complete",IF(COUNTIF(C10:C15,"Yes")&lt;6,"EMERGENCY PHASE OPEN","Follow-up in progress"))</f>
        <v>Follow-up in progress</v>
      </c>
      <c r="D33" s="20"/>
      <c r="E33" s="20"/>
    </row>
  </sheetData>
  <mergeCells count="5">
    <mergeCell ref="B4:C4"/>
    <mergeCell ref="B5:C5"/>
    <mergeCell ref="B6:C6"/>
    <mergeCell ref="B7:C7"/>
    <mergeCell ref="C33:E33"/>
  </mergeCells>
  <conditionalFormatting sqref="C10:C2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"No"</formula>
    </cfRule>
  </conditionalFormatting>
  <conditionalFormatting sqref="C33">
    <cfRule type="cellIs" priority="5" operator="equal" aboveAverage="0" equalAverage="0" bottom="0" percent="0" rank="0" text="" dxfId="0">
      <formula>"CLOSED – all steps complete"</formula>
    </cfRule>
    <cfRule type="cellIs" priority="6" operator="equal" aboveAverage="0" equalAverage="0" bottom="0" percent="0" rank="0" text="" dxfId="1">
      <formula>"Follow-up in progress"</formula>
    </cfRule>
    <cfRule type="cellIs" priority="7" operator="equal" aboveAverage="0" equalAverage="0" bottom="0" percent="0" rank="0" text="" dxfId="2">
      <formula>"EMERGENCY PHASE OPEN"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10:C28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9"/>
    <col collapsed="false" customWidth="true" hidden="false" outlineLevel="0" max="13" min="12" style="0" width="18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8" min="18" style="0" width="30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32"/>
  </cols>
  <sheetData>
    <row r="1" customFormat="false" ht="19.7" hidden="false" customHeight="false" outlineLevel="0" collapsed="false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31.5" hidden="false" customHeight="true" outlineLevel="0" collapsed="false">
      <c r="A4" s="14" t="s">
        <v>158</v>
      </c>
      <c r="B4" s="14" t="s">
        <v>127</v>
      </c>
      <c r="C4" s="14" t="s">
        <v>159</v>
      </c>
      <c r="D4" s="14" t="s">
        <v>160</v>
      </c>
      <c r="E4" s="14" t="s">
        <v>161</v>
      </c>
      <c r="F4" s="14" t="s">
        <v>125</v>
      </c>
      <c r="G4" s="14" t="s">
        <v>162</v>
      </c>
      <c r="H4" s="14" t="s">
        <v>163</v>
      </c>
      <c r="I4" s="14" t="s">
        <v>164</v>
      </c>
      <c r="J4" s="14" t="s">
        <v>165</v>
      </c>
      <c r="K4" s="14" t="s">
        <v>166</v>
      </c>
      <c r="L4" s="14" t="s">
        <v>167</v>
      </c>
      <c r="M4" s="14" t="s">
        <v>94</v>
      </c>
      <c r="N4" s="14" t="s">
        <v>168</v>
      </c>
      <c r="O4" s="14" t="s">
        <v>169</v>
      </c>
      <c r="P4" s="14" t="s">
        <v>170</v>
      </c>
      <c r="Q4" s="14" t="s">
        <v>171</v>
      </c>
      <c r="R4" s="14" t="s">
        <v>172</v>
      </c>
      <c r="S4" s="14" t="s">
        <v>173</v>
      </c>
      <c r="T4" s="14" t="s">
        <v>174</v>
      </c>
      <c r="U4" s="14" t="s">
        <v>175</v>
      </c>
      <c r="V4" s="14" t="s">
        <v>176</v>
      </c>
    </row>
    <row r="5" customFormat="false" ht="39.55" hidden="false" customHeight="false" outlineLevel="0" collapsed="false">
      <c r="A5" s="20" t="str">
        <f aca="false">IF(B5="","","EA-"&amp;TEXT(ROW()-4,"000"))</f>
        <v>EA-001</v>
      </c>
      <c r="B5" s="12" t="n">
        <v>46283</v>
      </c>
      <c r="C5" s="31" t="n">
        <v>0.445833333333333</v>
      </c>
      <c r="D5" s="31" t="n">
        <v>0.447222222222222</v>
      </c>
      <c r="E5" s="27" t="n">
        <f aca="false">IF(OR(C5="",D5=""),"",ROUND(MOD(D5-C5,1)*1440,0))</f>
        <v>2</v>
      </c>
      <c r="F5" s="11" t="s">
        <v>126</v>
      </c>
      <c r="G5" s="11" t="s">
        <v>177</v>
      </c>
      <c r="H5" s="11" t="s">
        <v>178</v>
      </c>
      <c r="I5" s="11" t="s">
        <v>179</v>
      </c>
      <c r="J5" s="11" t="s">
        <v>180</v>
      </c>
      <c r="K5" s="28" t="n">
        <v>1</v>
      </c>
      <c r="L5" s="11" t="s">
        <v>181</v>
      </c>
      <c r="M5" s="11" t="s">
        <v>97</v>
      </c>
      <c r="N5" s="28" t="s">
        <v>113</v>
      </c>
      <c r="O5" s="28" t="s">
        <v>113</v>
      </c>
      <c r="P5" s="28" t="s">
        <v>106</v>
      </c>
      <c r="Q5" s="11" t="s">
        <v>182</v>
      </c>
      <c r="R5" s="11" t="s">
        <v>183</v>
      </c>
      <c r="S5" s="11" t="s">
        <v>184</v>
      </c>
      <c r="T5" s="28" t="s">
        <v>106</v>
      </c>
      <c r="U5" s="12" t="n">
        <v>46290</v>
      </c>
      <c r="V5" s="11" t="s">
        <v>185</v>
      </c>
    </row>
    <row r="6" customFormat="false" ht="26.85" hidden="false" customHeight="false" outlineLevel="0" collapsed="false">
      <c r="A6" s="20" t="str">
        <f aca="false">IF(B6="","","EA-"&amp;TEXT(ROW()-4,"000"))</f>
        <v>EA-002</v>
      </c>
      <c r="B6" s="12" t="n">
        <v>46294</v>
      </c>
      <c r="C6" s="31" t="n">
        <v>0.586805555555556</v>
      </c>
      <c r="D6" s="31" t="n">
        <v>0.5875</v>
      </c>
      <c r="E6" s="27" t="n">
        <f aca="false">IF(OR(C6="",D6=""),"",ROUND(MOD(D6-C6,1)*1440,0))</f>
        <v>1</v>
      </c>
      <c r="F6" s="11" t="s">
        <v>186</v>
      </c>
      <c r="G6" s="11" t="s">
        <v>177</v>
      </c>
      <c r="H6" s="11" t="s">
        <v>187</v>
      </c>
      <c r="I6" s="11" t="s">
        <v>188</v>
      </c>
      <c r="J6" s="11" t="s">
        <v>189</v>
      </c>
      <c r="K6" s="28" t="n">
        <v>0</v>
      </c>
      <c r="L6" s="11" t="s">
        <v>190</v>
      </c>
      <c r="M6" s="11" t="s">
        <v>96</v>
      </c>
      <c r="N6" s="28" t="s">
        <v>113</v>
      </c>
      <c r="O6" s="28" t="s">
        <v>191</v>
      </c>
      <c r="P6" s="28" t="s">
        <v>106</v>
      </c>
      <c r="Q6" s="11" t="s">
        <v>192</v>
      </c>
      <c r="R6" s="11" t="s">
        <v>193</v>
      </c>
      <c r="S6" s="11" t="s">
        <v>194</v>
      </c>
      <c r="T6" s="28" t="s">
        <v>106</v>
      </c>
      <c r="U6" s="12"/>
      <c r="V6" s="11" t="s">
        <v>195</v>
      </c>
    </row>
    <row r="7" customFormat="false" ht="26.85" hidden="false" customHeight="false" outlineLevel="0" collapsed="false">
      <c r="A7" s="20" t="str">
        <f aca="false">IF(B7="","","EA-"&amp;TEXT(ROW()-4,"000"))</f>
        <v>EA-003</v>
      </c>
      <c r="B7" s="12" t="n">
        <v>46298</v>
      </c>
      <c r="C7" s="31" t="n">
        <v>0.479166666666667</v>
      </c>
      <c r="D7" s="31" t="n">
        <v>0.484027777777778</v>
      </c>
      <c r="E7" s="27" t="n">
        <f aca="false">IF(OR(C7="",D7=""),"",ROUND(MOD(D7-C7,1)*1440,0))</f>
        <v>7</v>
      </c>
      <c r="F7" s="11" t="s">
        <v>196</v>
      </c>
      <c r="G7" s="11" t="s">
        <v>197</v>
      </c>
      <c r="H7" s="11" t="s">
        <v>198</v>
      </c>
      <c r="I7" s="11" t="s">
        <v>199</v>
      </c>
      <c r="J7" s="11" t="s">
        <v>200</v>
      </c>
      <c r="K7" s="28" t="n">
        <v>0</v>
      </c>
      <c r="L7" s="11" t="s">
        <v>190</v>
      </c>
      <c r="M7" s="11" t="s">
        <v>97</v>
      </c>
      <c r="N7" s="28" t="s">
        <v>113</v>
      </c>
      <c r="O7" s="28" t="s">
        <v>191</v>
      </c>
      <c r="P7" s="28" t="s">
        <v>106</v>
      </c>
      <c r="Q7" s="11" t="s">
        <v>201</v>
      </c>
      <c r="R7" s="11" t="s">
        <v>202</v>
      </c>
      <c r="S7" s="11" t="s">
        <v>203</v>
      </c>
      <c r="T7" s="28" t="s">
        <v>113</v>
      </c>
      <c r="U7" s="12"/>
      <c r="V7" s="11" t="s">
        <v>204</v>
      </c>
    </row>
    <row r="8" customFormat="false" ht="15" hidden="false" customHeight="false" outlineLevel="0" collapsed="false">
      <c r="A8" s="20" t="str">
        <f aca="false">IF(B8="","","EA-"&amp;TEXT(ROW()-4,"000"))</f>
        <v/>
      </c>
      <c r="B8" s="12"/>
      <c r="C8" s="31"/>
      <c r="D8" s="31"/>
      <c r="E8" s="27" t="str">
        <f aca="false">IF(OR(C8="",D8=""),"",ROUND(MOD(D8-C8,1)*1440,0))</f>
        <v/>
      </c>
      <c r="F8" s="11"/>
      <c r="G8" s="11"/>
      <c r="H8" s="11"/>
      <c r="I8" s="11"/>
      <c r="J8" s="11"/>
      <c r="K8" s="28"/>
      <c r="L8" s="11"/>
      <c r="M8" s="11"/>
      <c r="N8" s="28"/>
      <c r="O8" s="28"/>
      <c r="P8" s="28"/>
      <c r="Q8" s="11"/>
      <c r="R8" s="11"/>
      <c r="S8" s="11"/>
      <c r="T8" s="28"/>
      <c r="U8" s="12"/>
      <c r="V8" s="11"/>
    </row>
    <row r="9" customFormat="false" ht="15" hidden="false" customHeight="false" outlineLevel="0" collapsed="false">
      <c r="A9" s="20" t="str">
        <f aca="false">IF(B9="","","EA-"&amp;TEXT(ROW()-4,"000"))</f>
        <v/>
      </c>
      <c r="B9" s="12"/>
      <c r="C9" s="31"/>
      <c r="D9" s="31"/>
      <c r="E9" s="27" t="str">
        <f aca="false">IF(OR(C9="",D9=""),"",ROUND(MOD(D9-C9,1)*1440,0))</f>
        <v/>
      </c>
      <c r="F9" s="11"/>
      <c r="G9" s="11"/>
      <c r="H9" s="11"/>
      <c r="I9" s="11"/>
      <c r="J9" s="11"/>
      <c r="K9" s="28"/>
      <c r="L9" s="11"/>
      <c r="M9" s="11"/>
      <c r="N9" s="28"/>
      <c r="O9" s="28"/>
      <c r="P9" s="28"/>
      <c r="Q9" s="11"/>
      <c r="R9" s="11"/>
      <c r="S9" s="11"/>
      <c r="T9" s="28"/>
      <c r="U9" s="12"/>
      <c r="V9" s="11"/>
    </row>
    <row r="10" customFormat="false" ht="15" hidden="false" customHeight="false" outlineLevel="0" collapsed="false">
      <c r="A10" s="20" t="str">
        <f aca="false">IF(B10="","","EA-"&amp;TEXT(ROW()-4,"000"))</f>
        <v/>
      </c>
      <c r="B10" s="12"/>
      <c r="C10" s="31"/>
      <c r="D10" s="31"/>
      <c r="E10" s="27" t="str">
        <f aca="false">IF(OR(C10="",D10=""),"",ROUND(MOD(D10-C10,1)*1440,0))</f>
        <v/>
      </c>
      <c r="F10" s="11"/>
      <c r="G10" s="11"/>
      <c r="H10" s="11"/>
      <c r="I10" s="11"/>
      <c r="J10" s="11"/>
      <c r="K10" s="28"/>
      <c r="L10" s="11"/>
      <c r="M10" s="11"/>
      <c r="N10" s="28"/>
      <c r="O10" s="28"/>
      <c r="P10" s="28"/>
      <c r="Q10" s="11"/>
      <c r="R10" s="11"/>
      <c r="S10" s="11"/>
      <c r="T10" s="28"/>
      <c r="U10" s="12"/>
      <c r="V10" s="11"/>
    </row>
    <row r="11" customFormat="false" ht="15" hidden="false" customHeight="false" outlineLevel="0" collapsed="false">
      <c r="A11" s="20" t="str">
        <f aca="false">IF(B11="","","EA-"&amp;TEXT(ROW()-4,"000"))</f>
        <v/>
      </c>
      <c r="B11" s="12"/>
      <c r="C11" s="31"/>
      <c r="D11" s="31"/>
      <c r="E11" s="27" t="str">
        <f aca="false">IF(OR(C11="",D11=""),"",ROUND(MOD(D11-C11,1)*1440,0))</f>
        <v/>
      </c>
      <c r="F11" s="11"/>
      <c r="G11" s="11"/>
      <c r="H11" s="11"/>
      <c r="I11" s="11"/>
      <c r="J11" s="11"/>
      <c r="K11" s="28"/>
      <c r="L11" s="11"/>
      <c r="M11" s="11"/>
      <c r="N11" s="28"/>
      <c r="O11" s="28"/>
      <c r="P11" s="28"/>
      <c r="Q11" s="11"/>
      <c r="R11" s="11"/>
      <c r="S11" s="11"/>
      <c r="T11" s="28"/>
      <c r="U11" s="12"/>
      <c r="V11" s="11"/>
    </row>
    <row r="12" customFormat="false" ht="15" hidden="false" customHeight="false" outlineLevel="0" collapsed="false">
      <c r="A12" s="20" t="str">
        <f aca="false">IF(B12="","","EA-"&amp;TEXT(ROW()-4,"000"))</f>
        <v/>
      </c>
      <c r="B12" s="12"/>
      <c r="C12" s="31"/>
      <c r="D12" s="31"/>
      <c r="E12" s="27" t="str">
        <f aca="false">IF(OR(C12="",D12=""),"",ROUND(MOD(D12-C12,1)*1440,0))</f>
        <v/>
      </c>
      <c r="F12" s="11"/>
      <c r="G12" s="11"/>
      <c r="H12" s="11"/>
      <c r="I12" s="11"/>
      <c r="J12" s="11"/>
      <c r="K12" s="28"/>
      <c r="L12" s="11"/>
      <c r="M12" s="11"/>
      <c r="N12" s="28"/>
      <c r="O12" s="28"/>
      <c r="P12" s="28"/>
      <c r="Q12" s="11"/>
      <c r="R12" s="11"/>
      <c r="S12" s="11"/>
      <c r="T12" s="28"/>
      <c r="U12" s="12"/>
      <c r="V12" s="11"/>
    </row>
    <row r="13" customFormat="false" ht="15" hidden="false" customHeight="false" outlineLevel="0" collapsed="false">
      <c r="A13" s="20" t="str">
        <f aca="false">IF(B13="","","EA-"&amp;TEXT(ROW()-4,"000"))</f>
        <v/>
      </c>
      <c r="B13" s="12"/>
      <c r="C13" s="31"/>
      <c r="D13" s="31"/>
      <c r="E13" s="27" t="str">
        <f aca="false">IF(OR(C13="",D13=""),"",ROUND(MOD(D13-C13,1)*1440,0))</f>
        <v/>
      </c>
      <c r="F13" s="11"/>
      <c r="G13" s="11"/>
      <c r="H13" s="11"/>
      <c r="I13" s="11"/>
      <c r="J13" s="11"/>
      <c r="K13" s="28"/>
      <c r="L13" s="11"/>
      <c r="M13" s="11"/>
      <c r="N13" s="28"/>
      <c r="O13" s="28"/>
      <c r="P13" s="28"/>
      <c r="Q13" s="11"/>
      <c r="R13" s="11"/>
      <c r="S13" s="11"/>
      <c r="T13" s="28"/>
      <c r="U13" s="12"/>
      <c r="V13" s="11"/>
    </row>
    <row r="14" customFormat="false" ht="15" hidden="false" customHeight="false" outlineLevel="0" collapsed="false">
      <c r="A14" s="20" t="str">
        <f aca="false">IF(B14="","","EA-"&amp;TEXT(ROW()-4,"000"))</f>
        <v/>
      </c>
      <c r="B14" s="12"/>
      <c r="C14" s="31"/>
      <c r="D14" s="31"/>
      <c r="E14" s="27" t="str">
        <f aca="false">IF(OR(C14="",D14=""),"",ROUND(MOD(D14-C14,1)*1440,0))</f>
        <v/>
      </c>
      <c r="F14" s="11"/>
      <c r="G14" s="11"/>
      <c r="H14" s="11"/>
      <c r="I14" s="11"/>
      <c r="J14" s="11"/>
      <c r="K14" s="28"/>
      <c r="L14" s="11"/>
      <c r="M14" s="11"/>
      <c r="N14" s="28"/>
      <c r="O14" s="28"/>
      <c r="P14" s="28"/>
      <c r="Q14" s="11"/>
      <c r="R14" s="11"/>
      <c r="S14" s="11"/>
      <c r="T14" s="28"/>
      <c r="U14" s="12"/>
      <c r="V14" s="11"/>
    </row>
    <row r="15" customFormat="false" ht="15" hidden="false" customHeight="false" outlineLevel="0" collapsed="false">
      <c r="A15" s="20" t="str">
        <f aca="false">IF(B15="","","EA-"&amp;TEXT(ROW()-4,"000"))</f>
        <v/>
      </c>
      <c r="B15" s="12"/>
      <c r="C15" s="31"/>
      <c r="D15" s="31"/>
      <c r="E15" s="27" t="str">
        <f aca="false">IF(OR(C15="",D15=""),"",ROUND(MOD(D15-C15,1)*1440,0))</f>
        <v/>
      </c>
      <c r="F15" s="11"/>
      <c r="G15" s="11"/>
      <c r="H15" s="11"/>
      <c r="I15" s="11"/>
      <c r="J15" s="11"/>
      <c r="K15" s="28"/>
      <c r="L15" s="11"/>
      <c r="M15" s="11"/>
      <c r="N15" s="28"/>
      <c r="O15" s="28"/>
      <c r="P15" s="28"/>
      <c r="Q15" s="11"/>
      <c r="R15" s="11"/>
      <c r="S15" s="11"/>
      <c r="T15" s="28"/>
      <c r="U15" s="12"/>
      <c r="V15" s="11"/>
    </row>
    <row r="16" customFormat="false" ht="15" hidden="false" customHeight="false" outlineLevel="0" collapsed="false">
      <c r="A16" s="20" t="str">
        <f aca="false">IF(B16="","","EA-"&amp;TEXT(ROW()-4,"000"))</f>
        <v/>
      </c>
      <c r="B16" s="12"/>
      <c r="C16" s="31"/>
      <c r="D16" s="31"/>
      <c r="E16" s="27" t="str">
        <f aca="false">IF(OR(C16="",D16=""),"",ROUND(MOD(D16-C16,1)*1440,0))</f>
        <v/>
      </c>
      <c r="F16" s="11"/>
      <c r="G16" s="11"/>
      <c r="H16" s="11"/>
      <c r="I16" s="11"/>
      <c r="J16" s="11"/>
      <c r="K16" s="28"/>
      <c r="L16" s="11"/>
      <c r="M16" s="11"/>
      <c r="N16" s="28"/>
      <c r="O16" s="28"/>
      <c r="P16" s="28"/>
      <c r="Q16" s="11"/>
      <c r="R16" s="11"/>
      <c r="S16" s="11"/>
      <c r="T16" s="28"/>
      <c r="U16" s="12"/>
      <c r="V16" s="11"/>
    </row>
    <row r="17" customFormat="false" ht="15" hidden="false" customHeight="false" outlineLevel="0" collapsed="false">
      <c r="A17" s="20" t="str">
        <f aca="false">IF(B17="","","EA-"&amp;TEXT(ROW()-4,"000"))</f>
        <v/>
      </c>
      <c r="B17" s="12"/>
      <c r="C17" s="31"/>
      <c r="D17" s="31"/>
      <c r="E17" s="27" t="str">
        <f aca="false">IF(OR(C17="",D17=""),"",ROUND(MOD(D17-C17,1)*1440,0))</f>
        <v/>
      </c>
      <c r="F17" s="11"/>
      <c r="G17" s="11"/>
      <c r="H17" s="11"/>
      <c r="I17" s="11"/>
      <c r="J17" s="11"/>
      <c r="K17" s="28"/>
      <c r="L17" s="11"/>
      <c r="M17" s="11"/>
      <c r="N17" s="28"/>
      <c r="O17" s="28"/>
      <c r="P17" s="28"/>
      <c r="Q17" s="11"/>
      <c r="R17" s="11"/>
      <c r="S17" s="11"/>
      <c r="T17" s="28"/>
      <c r="U17" s="12"/>
      <c r="V17" s="11"/>
    </row>
    <row r="18" customFormat="false" ht="15" hidden="false" customHeight="false" outlineLevel="0" collapsed="false">
      <c r="A18" s="20" t="str">
        <f aca="false">IF(B18="","","EA-"&amp;TEXT(ROW()-4,"000"))</f>
        <v/>
      </c>
      <c r="B18" s="12"/>
      <c r="C18" s="31"/>
      <c r="D18" s="31"/>
      <c r="E18" s="27" t="str">
        <f aca="false">IF(OR(C18="",D18=""),"",ROUND(MOD(D18-C18,1)*1440,0))</f>
        <v/>
      </c>
      <c r="F18" s="11"/>
      <c r="G18" s="11"/>
      <c r="H18" s="11"/>
      <c r="I18" s="11"/>
      <c r="J18" s="11"/>
      <c r="K18" s="28"/>
      <c r="L18" s="11"/>
      <c r="M18" s="11"/>
      <c r="N18" s="28"/>
      <c r="O18" s="28"/>
      <c r="P18" s="28"/>
      <c r="Q18" s="11"/>
      <c r="R18" s="11"/>
      <c r="S18" s="11"/>
      <c r="T18" s="28"/>
      <c r="U18" s="12"/>
      <c r="V18" s="11"/>
    </row>
    <row r="19" customFormat="false" ht="15" hidden="false" customHeight="false" outlineLevel="0" collapsed="false">
      <c r="A19" s="20" t="str">
        <f aca="false">IF(B19="","","EA-"&amp;TEXT(ROW()-4,"000"))</f>
        <v/>
      </c>
      <c r="B19" s="12"/>
      <c r="C19" s="31"/>
      <c r="D19" s="31"/>
      <c r="E19" s="27" t="str">
        <f aca="false">IF(OR(C19="",D19=""),"",ROUND(MOD(D19-C19,1)*1440,0))</f>
        <v/>
      </c>
      <c r="F19" s="11"/>
      <c r="G19" s="11"/>
      <c r="H19" s="11"/>
      <c r="I19" s="11"/>
      <c r="J19" s="11"/>
      <c r="K19" s="28"/>
      <c r="L19" s="11"/>
      <c r="M19" s="11"/>
      <c r="N19" s="28"/>
      <c r="O19" s="28"/>
      <c r="P19" s="28"/>
      <c r="Q19" s="11"/>
      <c r="R19" s="11"/>
      <c r="S19" s="11"/>
      <c r="T19" s="28"/>
      <c r="U19" s="12"/>
      <c r="V19" s="11"/>
    </row>
    <row r="20" customFormat="false" ht="15" hidden="false" customHeight="false" outlineLevel="0" collapsed="false">
      <c r="A20" s="20" t="str">
        <f aca="false">IF(B20="","","EA-"&amp;TEXT(ROW()-4,"000"))</f>
        <v/>
      </c>
      <c r="B20" s="12"/>
      <c r="C20" s="31"/>
      <c r="D20" s="31"/>
      <c r="E20" s="27" t="str">
        <f aca="false">IF(OR(C20="",D20=""),"",ROUND(MOD(D20-C20,1)*1440,0))</f>
        <v/>
      </c>
      <c r="F20" s="11"/>
      <c r="G20" s="11"/>
      <c r="H20" s="11"/>
      <c r="I20" s="11"/>
      <c r="J20" s="11"/>
      <c r="K20" s="28"/>
      <c r="L20" s="11"/>
      <c r="M20" s="11"/>
      <c r="N20" s="28"/>
      <c r="O20" s="28"/>
      <c r="P20" s="28"/>
      <c r="Q20" s="11"/>
      <c r="R20" s="11"/>
      <c r="S20" s="11"/>
      <c r="T20" s="28"/>
      <c r="U20" s="12"/>
      <c r="V20" s="11"/>
    </row>
    <row r="21" customFormat="false" ht="15" hidden="false" customHeight="false" outlineLevel="0" collapsed="false">
      <c r="A21" s="20" t="str">
        <f aca="false">IF(B21="","","EA-"&amp;TEXT(ROW()-4,"000"))</f>
        <v/>
      </c>
      <c r="B21" s="12"/>
      <c r="C21" s="31"/>
      <c r="D21" s="31"/>
      <c r="E21" s="27" t="str">
        <f aca="false">IF(OR(C21="",D21=""),"",ROUND(MOD(D21-C21,1)*1440,0))</f>
        <v/>
      </c>
      <c r="F21" s="11"/>
      <c r="G21" s="11"/>
      <c r="H21" s="11"/>
      <c r="I21" s="11"/>
      <c r="J21" s="11"/>
      <c r="K21" s="28"/>
      <c r="L21" s="11"/>
      <c r="M21" s="11"/>
      <c r="N21" s="28"/>
      <c r="O21" s="28"/>
      <c r="P21" s="28"/>
      <c r="Q21" s="11"/>
      <c r="R21" s="11"/>
      <c r="S21" s="11"/>
      <c r="T21" s="28"/>
      <c r="U21" s="12"/>
      <c r="V21" s="11"/>
    </row>
    <row r="22" customFormat="false" ht="15" hidden="false" customHeight="false" outlineLevel="0" collapsed="false">
      <c r="A22" s="20" t="str">
        <f aca="false">IF(B22="","","EA-"&amp;TEXT(ROW()-4,"000"))</f>
        <v/>
      </c>
      <c r="B22" s="12"/>
      <c r="C22" s="31"/>
      <c r="D22" s="31"/>
      <c r="E22" s="27" t="str">
        <f aca="false">IF(OR(C22="",D22=""),"",ROUND(MOD(D22-C22,1)*1440,0))</f>
        <v/>
      </c>
      <c r="F22" s="11"/>
      <c r="G22" s="11"/>
      <c r="H22" s="11"/>
      <c r="I22" s="11"/>
      <c r="J22" s="11"/>
      <c r="K22" s="28"/>
      <c r="L22" s="11"/>
      <c r="M22" s="11"/>
      <c r="N22" s="28"/>
      <c r="O22" s="28"/>
      <c r="P22" s="28"/>
      <c r="Q22" s="11"/>
      <c r="R22" s="11"/>
      <c r="S22" s="11"/>
      <c r="T22" s="28"/>
      <c r="U22" s="12"/>
      <c r="V22" s="11"/>
    </row>
    <row r="23" customFormat="false" ht="15" hidden="false" customHeight="false" outlineLevel="0" collapsed="false">
      <c r="A23" s="20" t="str">
        <f aca="false">IF(B23="","","EA-"&amp;TEXT(ROW()-4,"000"))</f>
        <v/>
      </c>
      <c r="B23" s="12"/>
      <c r="C23" s="31"/>
      <c r="D23" s="31"/>
      <c r="E23" s="27" t="str">
        <f aca="false">IF(OR(C23="",D23=""),"",ROUND(MOD(D23-C23,1)*1440,0))</f>
        <v/>
      </c>
      <c r="F23" s="11"/>
      <c r="G23" s="11"/>
      <c r="H23" s="11"/>
      <c r="I23" s="11"/>
      <c r="J23" s="11"/>
      <c r="K23" s="28"/>
      <c r="L23" s="11"/>
      <c r="M23" s="11"/>
      <c r="N23" s="28"/>
      <c r="O23" s="28"/>
      <c r="P23" s="28"/>
      <c r="Q23" s="11"/>
      <c r="R23" s="11"/>
      <c r="S23" s="11"/>
      <c r="T23" s="28"/>
      <c r="U23" s="12"/>
      <c r="V23" s="11"/>
    </row>
    <row r="24" customFormat="false" ht="15" hidden="false" customHeight="false" outlineLevel="0" collapsed="false">
      <c r="A24" s="20" t="str">
        <f aca="false">IF(B24="","","EA-"&amp;TEXT(ROW()-4,"000"))</f>
        <v/>
      </c>
      <c r="B24" s="12"/>
      <c r="C24" s="31"/>
      <c r="D24" s="31"/>
      <c r="E24" s="27" t="str">
        <f aca="false">IF(OR(C24="",D24=""),"",ROUND(MOD(D24-C24,1)*1440,0))</f>
        <v/>
      </c>
      <c r="F24" s="11"/>
      <c r="G24" s="11"/>
      <c r="H24" s="11"/>
      <c r="I24" s="11"/>
      <c r="J24" s="11"/>
      <c r="K24" s="28"/>
      <c r="L24" s="11"/>
      <c r="M24" s="11"/>
      <c r="N24" s="28"/>
      <c r="O24" s="28"/>
      <c r="P24" s="28"/>
      <c r="Q24" s="11"/>
      <c r="R24" s="11"/>
      <c r="S24" s="11"/>
      <c r="T24" s="28"/>
      <c r="U24" s="12"/>
      <c r="V24" s="11"/>
    </row>
    <row r="25" customFormat="false" ht="15" hidden="false" customHeight="false" outlineLevel="0" collapsed="false">
      <c r="A25" s="20" t="str">
        <f aca="false">IF(B25="","","EA-"&amp;TEXT(ROW()-4,"000"))</f>
        <v/>
      </c>
      <c r="B25" s="12"/>
      <c r="C25" s="31"/>
      <c r="D25" s="31"/>
      <c r="E25" s="27" t="str">
        <f aca="false">IF(OR(C25="",D25=""),"",ROUND(MOD(D25-C25,1)*1440,0))</f>
        <v/>
      </c>
      <c r="F25" s="11"/>
      <c r="G25" s="11"/>
      <c r="H25" s="11"/>
      <c r="I25" s="11"/>
      <c r="J25" s="11"/>
      <c r="K25" s="28"/>
      <c r="L25" s="11"/>
      <c r="M25" s="11"/>
      <c r="N25" s="28"/>
      <c r="O25" s="28"/>
      <c r="P25" s="28"/>
      <c r="Q25" s="11"/>
      <c r="R25" s="11"/>
      <c r="S25" s="11"/>
      <c r="T25" s="28"/>
      <c r="U25" s="12"/>
      <c r="V25" s="11"/>
    </row>
    <row r="26" customFormat="false" ht="15" hidden="false" customHeight="false" outlineLevel="0" collapsed="false">
      <c r="A26" s="20" t="str">
        <f aca="false">IF(B26="","","EA-"&amp;TEXT(ROW()-4,"000"))</f>
        <v/>
      </c>
      <c r="B26" s="12"/>
      <c r="C26" s="31"/>
      <c r="D26" s="31"/>
      <c r="E26" s="27" t="str">
        <f aca="false">IF(OR(C26="",D26=""),"",ROUND(MOD(D26-C26,1)*1440,0))</f>
        <v/>
      </c>
      <c r="F26" s="11"/>
      <c r="G26" s="11"/>
      <c r="H26" s="11"/>
      <c r="I26" s="11"/>
      <c r="J26" s="11"/>
      <c r="K26" s="28"/>
      <c r="L26" s="11"/>
      <c r="M26" s="11"/>
      <c r="N26" s="28"/>
      <c r="O26" s="28"/>
      <c r="P26" s="28"/>
      <c r="Q26" s="11"/>
      <c r="R26" s="11"/>
      <c r="S26" s="11"/>
      <c r="T26" s="28"/>
      <c r="U26" s="12"/>
      <c r="V26" s="11"/>
    </row>
    <row r="27" customFormat="false" ht="15" hidden="false" customHeight="false" outlineLevel="0" collapsed="false">
      <c r="A27" s="20" t="str">
        <f aca="false">IF(B27="","","EA-"&amp;TEXT(ROW()-4,"000"))</f>
        <v/>
      </c>
      <c r="B27" s="12"/>
      <c r="C27" s="31"/>
      <c r="D27" s="31"/>
      <c r="E27" s="27" t="str">
        <f aca="false">IF(OR(C27="",D27=""),"",ROUND(MOD(D27-C27,1)*1440,0))</f>
        <v/>
      </c>
      <c r="F27" s="11"/>
      <c r="G27" s="11"/>
      <c r="H27" s="11"/>
      <c r="I27" s="11"/>
      <c r="J27" s="11"/>
      <c r="K27" s="28"/>
      <c r="L27" s="11"/>
      <c r="M27" s="11"/>
      <c r="N27" s="28"/>
      <c r="O27" s="28"/>
      <c r="P27" s="28"/>
      <c r="Q27" s="11"/>
      <c r="R27" s="11"/>
      <c r="S27" s="11"/>
      <c r="T27" s="28"/>
      <c r="U27" s="12"/>
      <c r="V27" s="11"/>
    </row>
    <row r="28" customFormat="false" ht="15" hidden="false" customHeight="false" outlineLevel="0" collapsed="false">
      <c r="A28" s="20" t="str">
        <f aca="false">IF(B28="","","EA-"&amp;TEXT(ROW()-4,"000"))</f>
        <v/>
      </c>
      <c r="B28" s="12"/>
      <c r="C28" s="31"/>
      <c r="D28" s="31"/>
      <c r="E28" s="27" t="str">
        <f aca="false">IF(OR(C28="",D28=""),"",ROUND(MOD(D28-C28,1)*1440,0))</f>
        <v/>
      </c>
      <c r="F28" s="11"/>
      <c r="G28" s="11"/>
      <c r="H28" s="11"/>
      <c r="I28" s="11"/>
      <c r="J28" s="11"/>
      <c r="K28" s="28"/>
      <c r="L28" s="11"/>
      <c r="M28" s="11"/>
      <c r="N28" s="28"/>
      <c r="O28" s="28"/>
      <c r="P28" s="28"/>
      <c r="Q28" s="11"/>
      <c r="R28" s="11"/>
      <c r="S28" s="11"/>
      <c r="T28" s="28"/>
      <c r="U28" s="12"/>
      <c r="V28" s="11"/>
    </row>
    <row r="29" customFormat="false" ht="15" hidden="false" customHeight="false" outlineLevel="0" collapsed="false">
      <c r="A29" s="20" t="str">
        <f aca="false">IF(B29="","","EA-"&amp;TEXT(ROW()-4,"000"))</f>
        <v/>
      </c>
      <c r="B29" s="12"/>
      <c r="C29" s="31"/>
      <c r="D29" s="31"/>
      <c r="E29" s="27" t="str">
        <f aca="false">IF(OR(C29="",D29=""),"",ROUND(MOD(D29-C29,1)*1440,0))</f>
        <v/>
      </c>
      <c r="F29" s="11"/>
      <c r="G29" s="11"/>
      <c r="H29" s="11"/>
      <c r="I29" s="11"/>
      <c r="J29" s="11"/>
      <c r="K29" s="28"/>
      <c r="L29" s="11"/>
      <c r="M29" s="11"/>
      <c r="N29" s="28"/>
      <c r="O29" s="28"/>
      <c r="P29" s="28"/>
      <c r="Q29" s="11"/>
      <c r="R29" s="11"/>
      <c r="S29" s="11"/>
      <c r="T29" s="28"/>
      <c r="U29" s="12"/>
      <c r="V29" s="11"/>
    </row>
    <row r="30" customFormat="false" ht="15" hidden="false" customHeight="false" outlineLevel="0" collapsed="false">
      <c r="A30" s="20" t="str">
        <f aca="false">IF(B30="","","EA-"&amp;TEXT(ROW()-4,"000"))</f>
        <v/>
      </c>
      <c r="B30" s="12"/>
      <c r="C30" s="31"/>
      <c r="D30" s="31"/>
      <c r="E30" s="27" t="str">
        <f aca="false">IF(OR(C30="",D30=""),"",ROUND(MOD(D30-C30,1)*1440,0))</f>
        <v/>
      </c>
      <c r="F30" s="11"/>
      <c r="G30" s="11"/>
      <c r="H30" s="11"/>
      <c r="I30" s="11"/>
      <c r="J30" s="11"/>
      <c r="K30" s="28"/>
      <c r="L30" s="11"/>
      <c r="M30" s="11"/>
      <c r="N30" s="28"/>
      <c r="O30" s="28"/>
      <c r="P30" s="28"/>
      <c r="Q30" s="11"/>
      <c r="R30" s="11"/>
      <c r="S30" s="11"/>
      <c r="T30" s="28"/>
      <c r="U30" s="12"/>
      <c r="V30" s="11"/>
    </row>
    <row r="31" customFormat="false" ht="15" hidden="false" customHeight="false" outlineLevel="0" collapsed="false">
      <c r="A31" s="20" t="str">
        <f aca="false">IF(B31="","","EA-"&amp;TEXT(ROW()-4,"000"))</f>
        <v/>
      </c>
      <c r="B31" s="12"/>
      <c r="C31" s="31"/>
      <c r="D31" s="31"/>
      <c r="E31" s="27" t="str">
        <f aca="false">IF(OR(C31="",D31=""),"",ROUND(MOD(D31-C31,1)*1440,0))</f>
        <v/>
      </c>
      <c r="F31" s="11"/>
      <c r="G31" s="11"/>
      <c r="H31" s="11"/>
      <c r="I31" s="11"/>
      <c r="J31" s="11"/>
      <c r="K31" s="28"/>
      <c r="L31" s="11"/>
      <c r="M31" s="11"/>
      <c r="N31" s="28"/>
      <c r="O31" s="28"/>
      <c r="P31" s="28"/>
      <c r="Q31" s="11"/>
      <c r="R31" s="11"/>
      <c r="S31" s="11"/>
      <c r="T31" s="28"/>
      <c r="U31" s="12"/>
      <c r="V31" s="11"/>
    </row>
    <row r="32" customFormat="false" ht="15" hidden="false" customHeight="false" outlineLevel="0" collapsed="false">
      <c r="A32" s="20" t="str">
        <f aca="false">IF(B32="","","EA-"&amp;TEXT(ROW()-4,"000"))</f>
        <v/>
      </c>
      <c r="B32" s="12"/>
      <c r="C32" s="31"/>
      <c r="D32" s="31"/>
      <c r="E32" s="27" t="str">
        <f aca="false">IF(OR(C32="",D32=""),"",ROUND(MOD(D32-C32,1)*1440,0))</f>
        <v/>
      </c>
      <c r="F32" s="11"/>
      <c r="G32" s="11"/>
      <c r="H32" s="11"/>
      <c r="I32" s="11"/>
      <c r="J32" s="11"/>
      <c r="K32" s="28"/>
      <c r="L32" s="11"/>
      <c r="M32" s="11"/>
      <c r="N32" s="28"/>
      <c r="O32" s="28"/>
      <c r="P32" s="28"/>
      <c r="Q32" s="11"/>
      <c r="R32" s="11"/>
      <c r="S32" s="11"/>
      <c r="T32" s="28"/>
      <c r="U32" s="12"/>
      <c r="V32" s="11"/>
    </row>
    <row r="33" customFormat="false" ht="15" hidden="false" customHeight="false" outlineLevel="0" collapsed="false">
      <c r="A33" s="20" t="str">
        <f aca="false">IF(B33="","","EA-"&amp;TEXT(ROW()-4,"000"))</f>
        <v/>
      </c>
      <c r="B33" s="12"/>
      <c r="C33" s="31"/>
      <c r="D33" s="31"/>
      <c r="E33" s="27" t="str">
        <f aca="false">IF(OR(C33="",D33=""),"",ROUND(MOD(D33-C33,1)*1440,0))</f>
        <v/>
      </c>
      <c r="F33" s="11"/>
      <c r="G33" s="11"/>
      <c r="H33" s="11"/>
      <c r="I33" s="11"/>
      <c r="J33" s="11"/>
      <c r="K33" s="28"/>
      <c r="L33" s="11"/>
      <c r="M33" s="11"/>
      <c r="N33" s="28"/>
      <c r="O33" s="28"/>
      <c r="P33" s="28"/>
      <c r="Q33" s="11"/>
      <c r="R33" s="11"/>
      <c r="S33" s="11"/>
      <c r="T33" s="28"/>
      <c r="U33" s="12"/>
      <c r="V33" s="11"/>
    </row>
    <row r="34" customFormat="false" ht="15" hidden="false" customHeight="false" outlineLevel="0" collapsed="false">
      <c r="A34" s="20" t="str">
        <f aca="false">IF(B34="","","EA-"&amp;TEXT(ROW()-4,"000"))</f>
        <v/>
      </c>
      <c r="B34" s="12"/>
      <c r="C34" s="31"/>
      <c r="D34" s="31"/>
      <c r="E34" s="27" t="str">
        <f aca="false">IF(OR(C34="",D34=""),"",ROUND(MOD(D34-C34,1)*1440,0))</f>
        <v/>
      </c>
      <c r="F34" s="11"/>
      <c r="G34" s="11"/>
      <c r="H34" s="11"/>
      <c r="I34" s="11"/>
      <c r="J34" s="11"/>
      <c r="K34" s="28"/>
      <c r="L34" s="11"/>
      <c r="M34" s="11"/>
      <c r="N34" s="28"/>
      <c r="O34" s="28"/>
      <c r="P34" s="28"/>
      <c r="Q34" s="11"/>
      <c r="R34" s="11"/>
      <c r="S34" s="11"/>
      <c r="T34" s="28"/>
      <c r="U34" s="12"/>
      <c r="V34" s="11"/>
    </row>
    <row r="35" customFormat="false" ht="15" hidden="false" customHeight="false" outlineLevel="0" collapsed="false">
      <c r="A35" s="20" t="str">
        <f aca="false">IF(B35="","","EA-"&amp;TEXT(ROW()-4,"000"))</f>
        <v/>
      </c>
      <c r="B35" s="12"/>
      <c r="C35" s="31"/>
      <c r="D35" s="31"/>
      <c r="E35" s="27" t="str">
        <f aca="false">IF(OR(C35="",D35=""),"",ROUND(MOD(D35-C35,1)*1440,0))</f>
        <v/>
      </c>
      <c r="F35" s="11"/>
      <c r="G35" s="11"/>
      <c r="H35" s="11"/>
      <c r="I35" s="11"/>
      <c r="J35" s="11"/>
      <c r="K35" s="28"/>
      <c r="L35" s="11"/>
      <c r="M35" s="11"/>
      <c r="N35" s="28"/>
      <c r="O35" s="28"/>
      <c r="P35" s="28"/>
      <c r="Q35" s="11"/>
      <c r="R35" s="11"/>
      <c r="S35" s="11"/>
      <c r="T35" s="28"/>
      <c r="U35" s="12"/>
      <c r="V35" s="11"/>
    </row>
    <row r="36" customFormat="false" ht="15" hidden="false" customHeight="false" outlineLevel="0" collapsed="false">
      <c r="A36" s="20" t="str">
        <f aca="false">IF(B36="","","EA-"&amp;TEXT(ROW()-4,"000"))</f>
        <v/>
      </c>
      <c r="B36" s="12"/>
      <c r="C36" s="31"/>
      <c r="D36" s="31"/>
      <c r="E36" s="27" t="str">
        <f aca="false">IF(OR(C36="",D36=""),"",ROUND(MOD(D36-C36,1)*1440,0))</f>
        <v/>
      </c>
      <c r="F36" s="11"/>
      <c r="G36" s="11"/>
      <c r="H36" s="11"/>
      <c r="I36" s="11"/>
      <c r="J36" s="11"/>
      <c r="K36" s="28"/>
      <c r="L36" s="11"/>
      <c r="M36" s="11"/>
      <c r="N36" s="28"/>
      <c r="O36" s="28"/>
      <c r="P36" s="28"/>
      <c r="Q36" s="11"/>
      <c r="R36" s="11"/>
      <c r="S36" s="11"/>
      <c r="T36" s="28"/>
      <c r="U36" s="12"/>
      <c r="V36" s="11"/>
    </row>
    <row r="37" customFormat="false" ht="15" hidden="false" customHeight="false" outlineLevel="0" collapsed="false">
      <c r="A37" s="20" t="str">
        <f aca="false">IF(B37="","","EA-"&amp;TEXT(ROW()-4,"000"))</f>
        <v/>
      </c>
      <c r="B37" s="12"/>
      <c r="C37" s="31"/>
      <c r="D37" s="31"/>
      <c r="E37" s="27" t="str">
        <f aca="false">IF(OR(C37="",D37=""),"",ROUND(MOD(D37-C37,1)*1440,0))</f>
        <v/>
      </c>
      <c r="F37" s="11"/>
      <c r="G37" s="11"/>
      <c r="H37" s="11"/>
      <c r="I37" s="11"/>
      <c r="J37" s="11"/>
      <c r="K37" s="28"/>
      <c r="L37" s="11"/>
      <c r="M37" s="11"/>
      <c r="N37" s="28"/>
      <c r="O37" s="28"/>
      <c r="P37" s="28"/>
      <c r="Q37" s="11"/>
      <c r="R37" s="11"/>
      <c r="S37" s="11"/>
      <c r="T37" s="28"/>
      <c r="U37" s="12"/>
      <c r="V37" s="11"/>
    </row>
    <row r="38" customFormat="false" ht="15" hidden="false" customHeight="false" outlineLevel="0" collapsed="false">
      <c r="A38" s="20" t="str">
        <f aca="false">IF(B38="","","EA-"&amp;TEXT(ROW()-4,"000"))</f>
        <v/>
      </c>
      <c r="B38" s="12"/>
      <c r="C38" s="31"/>
      <c r="D38" s="31"/>
      <c r="E38" s="27" t="str">
        <f aca="false">IF(OR(C38="",D38=""),"",ROUND(MOD(D38-C38,1)*1440,0))</f>
        <v/>
      </c>
      <c r="F38" s="11"/>
      <c r="G38" s="11"/>
      <c r="H38" s="11"/>
      <c r="I38" s="11"/>
      <c r="J38" s="11"/>
      <c r="K38" s="28"/>
      <c r="L38" s="11"/>
      <c r="M38" s="11"/>
      <c r="N38" s="28"/>
      <c r="O38" s="28"/>
      <c r="P38" s="28"/>
      <c r="Q38" s="11"/>
      <c r="R38" s="11"/>
      <c r="S38" s="11"/>
      <c r="T38" s="28"/>
      <c r="U38" s="12"/>
      <c r="V38" s="11"/>
    </row>
    <row r="39" customFormat="false" ht="15" hidden="false" customHeight="false" outlineLevel="0" collapsed="false">
      <c r="A39" s="20" t="str">
        <f aca="false">IF(B39="","","EA-"&amp;TEXT(ROW()-4,"000"))</f>
        <v/>
      </c>
      <c r="B39" s="12"/>
      <c r="C39" s="31"/>
      <c r="D39" s="31"/>
      <c r="E39" s="27" t="str">
        <f aca="false">IF(OR(C39="",D39=""),"",ROUND(MOD(D39-C39,1)*1440,0))</f>
        <v/>
      </c>
      <c r="F39" s="11"/>
      <c r="G39" s="11"/>
      <c r="H39" s="11"/>
      <c r="I39" s="11"/>
      <c r="J39" s="11"/>
      <c r="K39" s="28"/>
      <c r="L39" s="11"/>
      <c r="M39" s="11"/>
      <c r="N39" s="28"/>
      <c r="O39" s="28"/>
      <c r="P39" s="28"/>
      <c r="Q39" s="11"/>
      <c r="R39" s="11"/>
      <c r="S39" s="11"/>
      <c r="T39" s="28"/>
      <c r="U39" s="12"/>
      <c r="V39" s="11"/>
    </row>
    <row r="40" customFormat="false" ht="15" hidden="false" customHeight="false" outlineLevel="0" collapsed="false">
      <c r="A40" s="20" t="str">
        <f aca="false">IF(B40="","","EA-"&amp;TEXT(ROW()-4,"000"))</f>
        <v/>
      </c>
      <c r="B40" s="12"/>
      <c r="C40" s="31"/>
      <c r="D40" s="31"/>
      <c r="E40" s="27" t="str">
        <f aca="false">IF(OR(C40="",D40=""),"",ROUND(MOD(D40-C40,1)*1440,0))</f>
        <v/>
      </c>
      <c r="F40" s="11"/>
      <c r="G40" s="11"/>
      <c r="H40" s="11"/>
      <c r="I40" s="11"/>
      <c r="J40" s="11"/>
      <c r="K40" s="28"/>
      <c r="L40" s="11"/>
      <c r="M40" s="11"/>
      <c r="N40" s="28"/>
      <c r="O40" s="28"/>
      <c r="P40" s="28"/>
      <c r="Q40" s="11"/>
      <c r="R40" s="11"/>
      <c r="S40" s="11"/>
      <c r="T40" s="28"/>
      <c r="U40" s="12"/>
      <c r="V40" s="11"/>
    </row>
    <row r="41" customFormat="false" ht="15" hidden="false" customHeight="false" outlineLevel="0" collapsed="false">
      <c r="A41" s="20" t="str">
        <f aca="false">IF(B41="","","EA-"&amp;TEXT(ROW()-4,"000"))</f>
        <v/>
      </c>
      <c r="B41" s="12"/>
      <c r="C41" s="31"/>
      <c r="D41" s="31"/>
      <c r="E41" s="27" t="str">
        <f aca="false">IF(OR(C41="",D41=""),"",ROUND(MOD(D41-C41,1)*1440,0))</f>
        <v/>
      </c>
      <c r="F41" s="11"/>
      <c r="G41" s="11"/>
      <c r="H41" s="11"/>
      <c r="I41" s="11"/>
      <c r="J41" s="11"/>
      <c r="K41" s="28"/>
      <c r="L41" s="11"/>
      <c r="M41" s="11"/>
      <c r="N41" s="28"/>
      <c r="O41" s="28"/>
      <c r="P41" s="28"/>
      <c r="Q41" s="11"/>
      <c r="R41" s="11"/>
      <c r="S41" s="11"/>
      <c r="T41" s="28"/>
      <c r="U41" s="12"/>
      <c r="V41" s="11"/>
    </row>
    <row r="42" customFormat="false" ht="15" hidden="false" customHeight="false" outlineLevel="0" collapsed="false">
      <c r="A42" s="20" t="str">
        <f aca="false">IF(B42="","","EA-"&amp;TEXT(ROW()-4,"000"))</f>
        <v/>
      </c>
      <c r="B42" s="12"/>
      <c r="C42" s="31"/>
      <c r="D42" s="31"/>
      <c r="E42" s="27" t="str">
        <f aca="false">IF(OR(C42="",D42=""),"",ROUND(MOD(D42-C42,1)*1440,0))</f>
        <v/>
      </c>
      <c r="F42" s="11"/>
      <c r="G42" s="11"/>
      <c r="H42" s="11"/>
      <c r="I42" s="11"/>
      <c r="J42" s="11"/>
      <c r="K42" s="28"/>
      <c r="L42" s="11"/>
      <c r="M42" s="11"/>
      <c r="N42" s="28"/>
      <c r="O42" s="28"/>
      <c r="P42" s="28"/>
      <c r="Q42" s="11"/>
      <c r="R42" s="11"/>
      <c r="S42" s="11"/>
      <c r="T42" s="28"/>
      <c r="U42" s="12"/>
      <c r="V42" s="11"/>
    </row>
    <row r="43" customFormat="false" ht="15" hidden="false" customHeight="false" outlineLevel="0" collapsed="false">
      <c r="A43" s="20" t="str">
        <f aca="false">IF(B43="","","EA-"&amp;TEXT(ROW()-4,"000"))</f>
        <v/>
      </c>
      <c r="B43" s="12"/>
      <c r="C43" s="31"/>
      <c r="D43" s="31"/>
      <c r="E43" s="27" t="str">
        <f aca="false">IF(OR(C43="",D43=""),"",ROUND(MOD(D43-C43,1)*1440,0))</f>
        <v/>
      </c>
      <c r="F43" s="11"/>
      <c r="G43" s="11"/>
      <c r="H43" s="11"/>
      <c r="I43" s="11"/>
      <c r="J43" s="11"/>
      <c r="K43" s="28"/>
      <c r="L43" s="11"/>
      <c r="M43" s="11"/>
      <c r="N43" s="28"/>
      <c r="O43" s="28"/>
      <c r="P43" s="28"/>
      <c r="Q43" s="11"/>
      <c r="R43" s="11"/>
      <c r="S43" s="11"/>
      <c r="T43" s="28"/>
      <c r="U43" s="12"/>
      <c r="V43" s="11"/>
    </row>
    <row r="44" customFormat="false" ht="15" hidden="false" customHeight="false" outlineLevel="0" collapsed="false">
      <c r="A44" s="20" t="str">
        <f aca="false">IF(B44="","","EA-"&amp;TEXT(ROW()-4,"000"))</f>
        <v/>
      </c>
      <c r="B44" s="12"/>
      <c r="C44" s="31"/>
      <c r="D44" s="31"/>
      <c r="E44" s="27" t="str">
        <f aca="false">IF(OR(C44="",D44=""),"",ROUND(MOD(D44-C44,1)*1440,0))</f>
        <v/>
      </c>
      <c r="F44" s="11"/>
      <c r="G44" s="11"/>
      <c r="H44" s="11"/>
      <c r="I44" s="11"/>
      <c r="J44" s="11"/>
      <c r="K44" s="28"/>
      <c r="L44" s="11"/>
      <c r="M44" s="11"/>
      <c r="N44" s="28"/>
      <c r="O44" s="28"/>
      <c r="P44" s="28"/>
      <c r="Q44" s="11"/>
      <c r="R44" s="11"/>
      <c r="S44" s="11"/>
      <c r="T44" s="28"/>
      <c r="U44" s="12"/>
      <c r="V44" s="11"/>
    </row>
    <row r="45" customFormat="false" ht="15" hidden="false" customHeight="false" outlineLevel="0" collapsed="false">
      <c r="A45" s="20" t="str">
        <f aca="false">IF(B45="","","EA-"&amp;TEXT(ROW()-4,"000"))</f>
        <v/>
      </c>
      <c r="B45" s="12"/>
      <c r="C45" s="31"/>
      <c r="D45" s="31"/>
      <c r="E45" s="27" t="str">
        <f aca="false">IF(OR(C45="",D45=""),"",ROUND(MOD(D45-C45,1)*1440,0))</f>
        <v/>
      </c>
      <c r="F45" s="11"/>
      <c r="G45" s="11"/>
      <c r="H45" s="11"/>
      <c r="I45" s="11"/>
      <c r="J45" s="11"/>
      <c r="K45" s="28"/>
      <c r="L45" s="11"/>
      <c r="M45" s="11"/>
      <c r="N45" s="28"/>
      <c r="O45" s="28"/>
      <c r="P45" s="28"/>
      <c r="Q45" s="11"/>
      <c r="R45" s="11"/>
      <c r="S45" s="11"/>
      <c r="T45" s="28"/>
      <c r="U45" s="12"/>
      <c r="V45" s="11"/>
    </row>
    <row r="46" customFormat="false" ht="15" hidden="false" customHeight="false" outlineLevel="0" collapsed="false">
      <c r="A46" s="20" t="str">
        <f aca="false">IF(B46="","","EA-"&amp;TEXT(ROW()-4,"000"))</f>
        <v/>
      </c>
      <c r="B46" s="12"/>
      <c r="C46" s="31"/>
      <c r="D46" s="31"/>
      <c r="E46" s="27" t="str">
        <f aca="false">IF(OR(C46="",D46=""),"",ROUND(MOD(D46-C46,1)*1440,0))</f>
        <v/>
      </c>
      <c r="F46" s="11"/>
      <c r="G46" s="11"/>
      <c r="H46" s="11"/>
      <c r="I46" s="11"/>
      <c r="J46" s="11"/>
      <c r="K46" s="28"/>
      <c r="L46" s="11"/>
      <c r="M46" s="11"/>
      <c r="N46" s="28"/>
      <c r="O46" s="28"/>
      <c r="P46" s="28"/>
      <c r="Q46" s="11"/>
      <c r="R46" s="11"/>
      <c r="S46" s="11"/>
      <c r="T46" s="28"/>
      <c r="U46" s="12"/>
      <c r="V46" s="11"/>
    </row>
    <row r="47" customFormat="false" ht="15" hidden="false" customHeight="false" outlineLevel="0" collapsed="false">
      <c r="A47" s="20" t="str">
        <f aca="false">IF(B47="","","EA-"&amp;TEXT(ROW()-4,"000"))</f>
        <v/>
      </c>
      <c r="B47" s="12"/>
      <c r="C47" s="31"/>
      <c r="D47" s="31"/>
      <c r="E47" s="27" t="str">
        <f aca="false">IF(OR(C47="",D47=""),"",ROUND(MOD(D47-C47,1)*1440,0))</f>
        <v/>
      </c>
      <c r="F47" s="11"/>
      <c r="G47" s="11"/>
      <c r="H47" s="11"/>
      <c r="I47" s="11"/>
      <c r="J47" s="11"/>
      <c r="K47" s="28"/>
      <c r="L47" s="11"/>
      <c r="M47" s="11"/>
      <c r="N47" s="28"/>
      <c r="O47" s="28"/>
      <c r="P47" s="28"/>
      <c r="Q47" s="11"/>
      <c r="R47" s="11"/>
      <c r="S47" s="11"/>
      <c r="T47" s="28"/>
      <c r="U47" s="12"/>
      <c r="V47" s="11"/>
    </row>
    <row r="48" customFormat="false" ht="15" hidden="false" customHeight="false" outlineLevel="0" collapsed="false">
      <c r="A48" s="20" t="str">
        <f aca="false">IF(B48="","","EA-"&amp;TEXT(ROW()-4,"000"))</f>
        <v/>
      </c>
      <c r="B48" s="12"/>
      <c r="C48" s="31"/>
      <c r="D48" s="31"/>
      <c r="E48" s="27" t="str">
        <f aca="false">IF(OR(C48="",D48=""),"",ROUND(MOD(D48-C48,1)*1440,0))</f>
        <v/>
      </c>
      <c r="F48" s="11"/>
      <c r="G48" s="11"/>
      <c r="H48" s="11"/>
      <c r="I48" s="11"/>
      <c r="J48" s="11"/>
      <c r="K48" s="28"/>
      <c r="L48" s="11"/>
      <c r="M48" s="11"/>
      <c r="N48" s="28"/>
      <c r="O48" s="28"/>
      <c r="P48" s="28"/>
      <c r="Q48" s="11"/>
      <c r="R48" s="11"/>
      <c r="S48" s="11"/>
      <c r="T48" s="28"/>
      <c r="U48" s="12"/>
      <c r="V48" s="11"/>
    </row>
    <row r="49" customFormat="false" ht="15" hidden="false" customHeight="false" outlineLevel="0" collapsed="false">
      <c r="A49" s="20" t="str">
        <f aca="false">IF(B49="","","EA-"&amp;TEXT(ROW()-4,"000"))</f>
        <v/>
      </c>
      <c r="B49" s="12"/>
      <c r="C49" s="31"/>
      <c r="D49" s="31"/>
      <c r="E49" s="27" t="str">
        <f aca="false">IF(OR(C49="",D49=""),"",ROUND(MOD(D49-C49,1)*1440,0))</f>
        <v/>
      </c>
      <c r="F49" s="11"/>
      <c r="G49" s="11"/>
      <c r="H49" s="11"/>
      <c r="I49" s="11"/>
      <c r="J49" s="11"/>
      <c r="K49" s="28"/>
      <c r="L49" s="11"/>
      <c r="M49" s="11"/>
      <c r="N49" s="28"/>
      <c r="O49" s="28"/>
      <c r="P49" s="28"/>
      <c r="Q49" s="11"/>
      <c r="R49" s="11"/>
      <c r="S49" s="11"/>
      <c r="T49" s="28"/>
      <c r="U49" s="12"/>
      <c r="V49" s="11"/>
    </row>
    <row r="50" customFormat="false" ht="15" hidden="false" customHeight="false" outlineLevel="0" collapsed="false">
      <c r="A50" s="20" t="str">
        <f aca="false">IF(B50="","","EA-"&amp;TEXT(ROW()-4,"000"))</f>
        <v/>
      </c>
      <c r="B50" s="12"/>
      <c r="C50" s="31"/>
      <c r="D50" s="31"/>
      <c r="E50" s="27" t="str">
        <f aca="false">IF(OR(C50="",D50=""),"",ROUND(MOD(D50-C50,1)*1440,0))</f>
        <v/>
      </c>
      <c r="F50" s="11"/>
      <c r="G50" s="11"/>
      <c r="H50" s="11"/>
      <c r="I50" s="11"/>
      <c r="J50" s="11"/>
      <c r="K50" s="28"/>
      <c r="L50" s="11"/>
      <c r="M50" s="11"/>
      <c r="N50" s="28"/>
      <c r="O50" s="28"/>
      <c r="P50" s="28"/>
      <c r="Q50" s="11"/>
      <c r="R50" s="11"/>
      <c r="S50" s="11"/>
      <c r="T50" s="28"/>
      <c r="U50" s="12"/>
      <c r="V50" s="11"/>
    </row>
    <row r="51" customFormat="false" ht="15" hidden="false" customHeight="false" outlineLevel="0" collapsed="false">
      <c r="A51" s="20" t="str">
        <f aca="false">IF(B51="","","EA-"&amp;TEXT(ROW()-4,"000"))</f>
        <v/>
      </c>
      <c r="B51" s="12"/>
      <c r="C51" s="31"/>
      <c r="D51" s="31"/>
      <c r="E51" s="27" t="str">
        <f aca="false">IF(OR(C51="",D51=""),"",ROUND(MOD(D51-C51,1)*1440,0))</f>
        <v/>
      </c>
      <c r="F51" s="11"/>
      <c r="G51" s="11"/>
      <c r="H51" s="11"/>
      <c r="I51" s="11"/>
      <c r="J51" s="11"/>
      <c r="K51" s="28"/>
      <c r="L51" s="11"/>
      <c r="M51" s="11"/>
      <c r="N51" s="28"/>
      <c r="O51" s="28"/>
      <c r="P51" s="28"/>
      <c r="Q51" s="11"/>
      <c r="R51" s="11"/>
      <c r="S51" s="11"/>
      <c r="T51" s="28"/>
      <c r="U51" s="12"/>
      <c r="V51" s="11"/>
    </row>
    <row r="52" customFormat="false" ht="15" hidden="false" customHeight="false" outlineLevel="0" collapsed="false">
      <c r="A52" s="20" t="str">
        <f aca="false">IF(B52="","","EA-"&amp;TEXT(ROW()-4,"000"))</f>
        <v/>
      </c>
      <c r="B52" s="12"/>
      <c r="C52" s="31"/>
      <c r="D52" s="31"/>
      <c r="E52" s="27" t="str">
        <f aca="false">IF(OR(C52="",D52=""),"",ROUND(MOD(D52-C52,1)*1440,0))</f>
        <v/>
      </c>
      <c r="F52" s="11"/>
      <c r="G52" s="11"/>
      <c r="H52" s="11"/>
      <c r="I52" s="11"/>
      <c r="J52" s="11"/>
      <c r="K52" s="28"/>
      <c r="L52" s="11"/>
      <c r="M52" s="11"/>
      <c r="N52" s="28"/>
      <c r="O52" s="28"/>
      <c r="P52" s="28"/>
      <c r="Q52" s="11"/>
      <c r="R52" s="11"/>
      <c r="S52" s="11"/>
      <c r="T52" s="28"/>
      <c r="U52" s="12"/>
      <c r="V52" s="11"/>
    </row>
    <row r="53" customFormat="false" ht="15" hidden="false" customHeight="false" outlineLevel="0" collapsed="false">
      <c r="A53" s="20" t="str">
        <f aca="false">IF(B53="","","EA-"&amp;TEXT(ROW()-4,"000"))</f>
        <v/>
      </c>
      <c r="B53" s="12"/>
      <c r="C53" s="31"/>
      <c r="D53" s="31"/>
      <c r="E53" s="27" t="str">
        <f aca="false">IF(OR(C53="",D53=""),"",ROUND(MOD(D53-C53,1)*1440,0))</f>
        <v/>
      </c>
      <c r="F53" s="11"/>
      <c r="G53" s="11"/>
      <c r="H53" s="11"/>
      <c r="I53" s="11"/>
      <c r="J53" s="11"/>
      <c r="K53" s="28"/>
      <c r="L53" s="11"/>
      <c r="M53" s="11"/>
      <c r="N53" s="28"/>
      <c r="O53" s="28"/>
      <c r="P53" s="28"/>
      <c r="Q53" s="11"/>
      <c r="R53" s="11"/>
      <c r="S53" s="11"/>
      <c r="T53" s="28"/>
      <c r="U53" s="12"/>
      <c r="V53" s="11"/>
    </row>
    <row r="54" customFormat="false" ht="15" hidden="false" customHeight="false" outlineLevel="0" collapsed="false">
      <c r="A54" s="20" t="str">
        <f aca="false">IF(B54="","","EA-"&amp;TEXT(ROW()-4,"000"))</f>
        <v/>
      </c>
      <c r="B54" s="12"/>
      <c r="C54" s="31"/>
      <c r="D54" s="31"/>
      <c r="E54" s="27" t="str">
        <f aca="false">IF(OR(C54="",D54=""),"",ROUND(MOD(D54-C54,1)*1440,0))</f>
        <v/>
      </c>
      <c r="F54" s="11"/>
      <c r="G54" s="11"/>
      <c r="H54" s="11"/>
      <c r="I54" s="11"/>
      <c r="J54" s="11"/>
      <c r="K54" s="28"/>
      <c r="L54" s="11"/>
      <c r="M54" s="11"/>
      <c r="N54" s="28"/>
      <c r="O54" s="28"/>
      <c r="P54" s="28"/>
      <c r="Q54" s="11"/>
      <c r="R54" s="11"/>
      <c r="S54" s="11"/>
      <c r="T54" s="28"/>
      <c r="U54" s="12"/>
      <c r="V54" s="11"/>
    </row>
    <row r="55" customFormat="false" ht="15" hidden="false" customHeight="false" outlineLevel="0" collapsed="false">
      <c r="A55" s="20" t="str">
        <f aca="false">IF(B55="","","EA-"&amp;TEXT(ROW()-4,"000"))</f>
        <v/>
      </c>
      <c r="B55" s="12"/>
      <c r="C55" s="31"/>
      <c r="D55" s="31"/>
      <c r="E55" s="27" t="str">
        <f aca="false">IF(OR(C55="",D55=""),"",ROUND(MOD(D55-C55,1)*1440,0))</f>
        <v/>
      </c>
      <c r="F55" s="11"/>
      <c r="G55" s="11"/>
      <c r="H55" s="11"/>
      <c r="I55" s="11"/>
      <c r="J55" s="11"/>
      <c r="K55" s="28"/>
      <c r="L55" s="11"/>
      <c r="M55" s="11"/>
      <c r="N55" s="28"/>
      <c r="O55" s="28"/>
      <c r="P55" s="28"/>
      <c r="Q55" s="11"/>
      <c r="R55" s="11"/>
      <c r="S55" s="11"/>
      <c r="T55" s="28"/>
      <c r="U55" s="12"/>
      <c r="V55" s="11"/>
    </row>
    <row r="56" customFormat="false" ht="15" hidden="false" customHeight="false" outlineLevel="0" collapsed="false">
      <c r="A56" s="20" t="str">
        <f aca="false">IF(B56="","","EA-"&amp;TEXT(ROW()-4,"000"))</f>
        <v/>
      </c>
      <c r="B56" s="12"/>
      <c r="C56" s="31"/>
      <c r="D56" s="31"/>
      <c r="E56" s="27" t="str">
        <f aca="false">IF(OR(C56="",D56=""),"",ROUND(MOD(D56-C56,1)*1440,0))</f>
        <v/>
      </c>
      <c r="F56" s="11"/>
      <c r="G56" s="11"/>
      <c r="H56" s="11"/>
      <c r="I56" s="11"/>
      <c r="J56" s="11"/>
      <c r="K56" s="28"/>
      <c r="L56" s="11"/>
      <c r="M56" s="11"/>
      <c r="N56" s="28"/>
      <c r="O56" s="28"/>
      <c r="P56" s="28"/>
      <c r="Q56" s="11"/>
      <c r="R56" s="11"/>
      <c r="S56" s="11"/>
      <c r="T56" s="28"/>
      <c r="U56" s="12"/>
      <c r="V56" s="11"/>
    </row>
    <row r="57" customFormat="false" ht="15" hidden="false" customHeight="false" outlineLevel="0" collapsed="false">
      <c r="A57" s="20" t="str">
        <f aca="false">IF(B57="","","EA-"&amp;TEXT(ROW()-4,"000"))</f>
        <v/>
      </c>
      <c r="B57" s="12"/>
      <c r="C57" s="31"/>
      <c r="D57" s="31"/>
      <c r="E57" s="27" t="str">
        <f aca="false">IF(OR(C57="",D57=""),"",ROUND(MOD(D57-C57,1)*1440,0))</f>
        <v/>
      </c>
      <c r="F57" s="11"/>
      <c r="G57" s="11"/>
      <c r="H57" s="11"/>
      <c r="I57" s="11"/>
      <c r="J57" s="11"/>
      <c r="K57" s="28"/>
      <c r="L57" s="11"/>
      <c r="M57" s="11"/>
      <c r="N57" s="28"/>
      <c r="O57" s="28"/>
      <c r="P57" s="28"/>
      <c r="Q57" s="11"/>
      <c r="R57" s="11"/>
      <c r="S57" s="11"/>
      <c r="T57" s="28"/>
      <c r="U57" s="12"/>
      <c r="V57" s="11"/>
    </row>
    <row r="58" customFormat="false" ht="15" hidden="false" customHeight="false" outlineLevel="0" collapsed="false">
      <c r="A58" s="20" t="str">
        <f aca="false">IF(B58="","","EA-"&amp;TEXT(ROW()-4,"000"))</f>
        <v/>
      </c>
      <c r="B58" s="12"/>
      <c r="C58" s="31"/>
      <c r="D58" s="31"/>
      <c r="E58" s="27" t="str">
        <f aca="false">IF(OR(C58="",D58=""),"",ROUND(MOD(D58-C58,1)*1440,0))</f>
        <v/>
      </c>
      <c r="F58" s="11"/>
      <c r="G58" s="11"/>
      <c r="H58" s="11"/>
      <c r="I58" s="11"/>
      <c r="J58" s="11"/>
      <c r="K58" s="28"/>
      <c r="L58" s="11"/>
      <c r="M58" s="11"/>
      <c r="N58" s="28"/>
      <c r="O58" s="28"/>
      <c r="P58" s="28"/>
      <c r="Q58" s="11"/>
      <c r="R58" s="11"/>
      <c r="S58" s="11"/>
      <c r="T58" s="28"/>
      <c r="U58" s="12"/>
      <c r="V58" s="11"/>
    </row>
    <row r="59" customFormat="false" ht="15" hidden="false" customHeight="false" outlineLevel="0" collapsed="false">
      <c r="A59" s="20" t="str">
        <f aca="false">IF(B59="","","EA-"&amp;TEXT(ROW()-4,"000"))</f>
        <v/>
      </c>
      <c r="B59" s="12"/>
      <c r="C59" s="31"/>
      <c r="D59" s="31"/>
      <c r="E59" s="27" t="str">
        <f aca="false">IF(OR(C59="",D59=""),"",ROUND(MOD(D59-C59,1)*1440,0))</f>
        <v/>
      </c>
      <c r="F59" s="11"/>
      <c r="G59" s="11"/>
      <c r="H59" s="11"/>
      <c r="I59" s="11"/>
      <c r="J59" s="11"/>
      <c r="K59" s="28"/>
      <c r="L59" s="11"/>
      <c r="M59" s="11"/>
      <c r="N59" s="28"/>
      <c r="O59" s="28"/>
      <c r="P59" s="28"/>
      <c r="Q59" s="11"/>
      <c r="R59" s="11"/>
      <c r="S59" s="11"/>
      <c r="T59" s="28"/>
      <c r="U59" s="12"/>
      <c r="V59" s="11"/>
    </row>
    <row r="60" customFormat="false" ht="15" hidden="false" customHeight="false" outlineLevel="0" collapsed="false">
      <c r="A60" s="20" t="str">
        <f aca="false">IF(B60="","","EA-"&amp;TEXT(ROW()-4,"000"))</f>
        <v/>
      </c>
      <c r="B60" s="12"/>
      <c r="C60" s="31"/>
      <c r="D60" s="31"/>
      <c r="E60" s="27" t="str">
        <f aca="false">IF(OR(C60="",D60=""),"",ROUND(MOD(D60-C60,1)*1440,0))</f>
        <v/>
      </c>
      <c r="F60" s="11"/>
      <c r="G60" s="11"/>
      <c r="H60" s="11"/>
      <c r="I60" s="11"/>
      <c r="J60" s="11"/>
      <c r="K60" s="28"/>
      <c r="L60" s="11"/>
      <c r="M60" s="11"/>
      <c r="N60" s="28"/>
      <c r="O60" s="28"/>
      <c r="P60" s="28"/>
      <c r="Q60" s="11"/>
      <c r="R60" s="11"/>
      <c r="S60" s="11"/>
      <c r="T60" s="28"/>
      <c r="U60" s="12"/>
      <c r="V60" s="11"/>
    </row>
    <row r="61" customFormat="false" ht="15" hidden="false" customHeight="false" outlineLevel="0" collapsed="false">
      <c r="A61" s="20" t="str">
        <f aca="false">IF(B61="","","EA-"&amp;TEXT(ROW()-4,"000"))</f>
        <v/>
      </c>
      <c r="B61" s="12"/>
      <c r="C61" s="31"/>
      <c r="D61" s="31"/>
      <c r="E61" s="27" t="str">
        <f aca="false">IF(OR(C61="",D61=""),"",ROUND(MOD(D61-C61,1)*1440,0))</f>
        <v/>
      </c>
      <c r="F61" s="11"/>
      <c r="G61" s="11"/>
      <c r="H61" s="11"/>
      <c r="I61" s="11"/>
      <c r="J61" s="11"/>
      <c r="K61" s="28"/>
      <c r="L61" s="11"/>
      <c r="M61" s="11"/>
      <c r="N61" s="28"/>
      <c r="O61" s="28"/>
      <c r="P61" s="28"/>
      <c r="Q61" s="11"/>
      <c r="R61" s="11"/>
      <c r="S61" s="11"/>
      <c r="T61" s="28"/>
      <c r="U61" s="12"/>
      <c r="V61" s="11"/>
    </row>
    <row r="62" customFormat="false" ht="15" hidden="false" customHeight="false" outlineLevel="0" collapsed="false">
      <c r="A62" s="20" t="str">
        <f aca="false">IF(B62="","","EA-"&amp;TEXT(ROW()-4,"000"))</f>
        <v/>
      </c>
      <c r="B62" s="12"/>
      <c r="C62" s="31"/>
      <c r="D62" s="31"/>
      <c r="E62" s="27" t="str">
        <f aca="false">IF(OR(C62="",D62=""),"",ROUND(MOD(D62-C62,1)*1440,0))</f>
        <v/>
      </c>
      <c r="F62" s="11"/>
      <c r="G62" s="11"/>
      <c r="H62" s="11"/>
      <c r="I62" s="11"/>
      <c r="J62" s="11"/>
      <c r="K62" s="28"/>
      <c r="L62" s="11"/>
      <c r="M62" s="11"/>
      <c r="N62" s="28"/>
      <c r="O62" s="28"/>
      <c r="P62" s="28"/>
      <c r="Q62" s="11"/>
      <c r="R62" s="11"/>
      <c r="S62" s="11"/>
      <c r="T62" s="28"/>
      <c r="U62" s="12"/>
      <c r="V62" s="11"/>
    </row>
    <row r="63" customFormat="false" ht="15" hidden="false" customHeight="false" outlineLevel="0" collapsed="false">
      <c r="A63" s="20" t="str">
        <f aca="false">IF(B63="","","EA-"&amp;TEXT(ROW()-4,"000"))</f>
        <v/>
      </c>
      <c r="B63" s="12"/>
      <c r="C63" s="31"/>
      <c r="D63" s="31"/>
      <c r="E63" s="27" t="str">
        <f aca="false">IF(OR(C63="",D63=""),"",ROUND(MOD(D63-C63,1)*1440,0))</f>
        <v/>
      </c>
      <c r="F63" s="11"/>
      <c r="G63" s="11"/>
      <c r="H63" s="11"/>
      <c r="I63" s="11"/>
      <c r="J63" s="11"/>
      <c r="K63" s="28"/>
      <c r="L63" s="11"/>
      <c r="M63" s="11"/>
      <c r="N63" s="28"/>
      <c r="O63" s="28"/>
      <c r="P63" s="28"/>
      <c r="Q63" s="11"/>
      <c r="R63" s="11"/>
      <c r="S63" s="11"/>
      <c r="T63" s="28"/>
      <c r="U63" s="12"/>
      <c r="V63" s="11"/>
    </row>
    <row r="64" customFormat="false" ht="15" hidden="false" customHeight="false" outlineLevel="0" collapsed="false">
      <c r="A64" s="20" t="str">
        <f aca="false">IF(B64="","","EA-"&amp;TEXT(ROW()-4,"000"))</f>
        <v/>
      </c>
      <c r="B64" s="12"/>
      <c r="C64" s="31"/>
      <c r="D64" s="31"/>
      <c r="E64" s="27" t="str">
        <f aca="false">IF(OR(C64="",D64=""),"",ROUND(MOD(D64-C64,1)*1440,0))</f>
        <v/>
      </c>
      <c r="F64" s="11"/>
      <c r="G64" s="11"/>
      <c r="H64" s="11"/>
      <c r="I64" s="11"/>
      <c r="J64" s="11"/>
      <c r="K64" s="28"/>
      <c r="L64" s="11"/>
      <c r="M64" s="11"/>
      <c r="N64" s="28"/>
      <c r="O64" s="28"/>
      <c r="P64" s="28"/>
      <c r="Q64" s="11"/>
      <c r="R64" s="11"/>
      <c r="S64" s="11"/>
      <c r="T64" s="28"/>
      <c r="U64" s="12"/>
      <c r="V64" s="11"/>
    </row>
  </sheetData>
  <conditionalFormatting sqref="M5:M64">
    <cfRule type="cellIs" priority="2" operator="equal" aboveAverage="0" equalAverage="0" bottom="0" percent="0" rank="0" text="" dxfId="0">
      <formula>"Level 1 – Minor"</formula>
    </cfRule>
    <cfRule type="cellIs" priority="3" operator="equal" aboveAverage="0" equalAverage="0" bottom="0" percent="0" rank="0" text="" dxfId="1">
      <formula>"Level 2 – Significant"</formula>
    </cfRule>
    <cfRule type="cellIs" priority="4" operator="equal" aboveAverage="0" equalAverage="0" bottom="0" percent="0" rank="0" text="" dxfId="2">
      <formula>"Level 3 – Major"</formula>
    </cfRule>
    <cfRule type="cellIs" priority="5" operator="equal" aboveAverage="0" equalAverage="0" bottom="0" percent="0" rank="0" text="" dxfId="3">
      <formula>"Level 4 – Critical"</formula>
    </cfRule>
  </conditionalFormatting>
  <conditionalFormatting sqref="N5:N64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2">
      <formula>"No"</formula>
    </cfRule>
  </conditionalFormatting>
  <conditionalFormatting sqref="T5:T64">
    <cfRule type="cellIs" priority="8" operator="equal" aboveAverage="0" equalAverage="0" bottom="0" percent="0" rank="0" text="" dxfId="2">
      <formula>"Yes"</formula>
    </cfRule>
  </conditionalFormatting>
  <dataValidations count="10">
    <dataValidation allowBlank="true" error="Please choose a value from the list." errorStyle="stop" errorTitle="Invalid entry" operator="between" showDropDown="false" showErrorMessage="false" showInputMessage="false" sqref="G5:G64" type="list">
      <formula1>Lists!$H$2:$H$14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5:H64" type="list">
      <formula1>Lists!$F$2:$F$4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I5:I64" type="list">
      <formula1>Lists!$D$2:$D$16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L5:L64" type="list">
      <formula1>Lists!$G$2:$G$10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5:M64" type="list">
      <formula1>Lists!$E$2:$E$5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N5:N6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O5:O64" type="list">
      <formula1>Lists!$B$2:$B$4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P5:P6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Q5:Q64" type="list">
      <formula1>Lists!$I$2:$I$7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T5:T6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1" min="10" style="0" width="16"/>
    <col collapsed="false" customWidth="true" hidden="false" outlineLevel="0" max="12" min="12" style="0" width="9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1.5" hidden="false" customHeight="true" outlineLevel="0" collapsed="false">
      <c r="A4" s="14" t="s">
        <v>173</v>
      </c>
      <c r="B4" s="14" t="s">
        <v>123</v>
      </c>
      <c r="C4" s="14" t="s">
        <v>207</v>
      </c>
      <c r="D4" s="14" t="s">
        <v>208</v>
      </c>
      <c r="E4" s="14" t="s">
        <v>209</v>
      </c>
      <c r="F4" s="14" t="s">
        <v>210</v>
      </c>
      <c r="G4" s="14" t="s">
        <v>211</v>
      </c>
      <c r="H4" s="14" t="s">
        <v>212</v>
      </c>
      <c r="I4" s="14" t="s">
        <v>213</v>
      </c>
      <c r="J4" s="14" t="s">
        <v>214</v>
      </c>
      <c r="K4" s="14" t="s">
        <v>50</v>
      </c>
      <c r="L4" s="14" t="s">
        <v>215</v>
      </c>
      <c r="M4" s="14" t="s">
        <v>216</v>
      </c>
    </row>
    <row r="5" customFormat="false" ht="26.85" hidden="false" customHeight="false" outlineLevel="0" collapsed="false">
      <c r="A5" s="20" t="str">
        <f aca="false">IF(C5="","","CA-"&amp;TEXT(ROW()-4,"000"))</f>
        <v>CA-001</v>
      </c>
      <c r="B5" s="11" t="s">
        <v>124</v>
      </c>
      <c r="C5" s="11" t="s">
        <v>217</v>
      </c>
      <c r="D5" s="11" t="s">
        <v>218</v>
      </c>
      <c r="E5" s="11" t="s">
        <v>219</v>
      </c>
      <c r="F5" s="12" t="n">
        <v>46295</v>
      </c>
      <c r="G5" s="12" t="n">
        <v>46289</v>
      </c>
      <c r="H5" s="11" t="s">
        <v>220</v>
      </c>
      <c r="I5" s="28" t="s">
        <v>113</v>
      </c>
      <c r="J5" s="11" t="s">
        <v>221</v>
      </c>
      <c r="K5" s="20" t="str">
        <f aca="false">IF(C5="","",IF(AND(G5&lt;&gt;"",I5="Yes"),"Closed",IF(G5&lt;&gt;"","Awaiting verification",IF(F5="","No due date",IF(F5&lt;Dashboard!$C$5,"Overdue",IF(F5-Dashboard!$C$5&lt;=Lists!$Q$2,"Due soon","Open"))))))</f>
        <v>Closed</v>
      </c>
      <c r="L5" s="27" t="str">
        <f aca="false">IF(K5="Overdue",Dashboard!$C$5-F5,"")</f>
        <v/>
      </c>
      <c r="M5" s="11"/>
    </row>
    <row r="6" customFormat="false" ht="26.85" hidden="false" customHeight="false" outlineLevel="0" collapsed="false">
      <c r="A6" s="20" t="str">
        <f aca="false">IF(C6="","","CA-"&amp;TEXT(ROW()-4,"000"))</f>
        <v>CA-002</v>
      </c>
      <c r="B6" s="11" t="s">
        <v>222</v>
      </c>
      <c r="C6" s="11" t="s">
        <v>223</v>
      </c>
      <c r="D6" s="11" t="s">
        <v>224</v>
      </c>
      <c r="E6" s="11" t="s">
        <v>225</v>
      </c>
      <c r="F6" s="12" t="n">
        <v>46310</v>
      </c>
      <c r="G6" s="12"/>
      <c r="H6" s="11" t="s">
        <v>226</v>
      </c>
      <c r="I6" s="28"/>
      <c r="J6" s="11"/>
      <c r="K6" s="20" t="str">
        <f aca="false">IF(C6="","",IF(AND(G6&lt;&gt;"",I6="Yes"),"Closed",IF(G6&lt;&gt;"","Awaiting verification",IF(F6="","No due date",IF(F6&lt;Dashboard!$C$5,"Overdue",IF(F6-Dashboard!$C$5&lt;=Lists!$Q$2,"Due soon","Open"))))))</f>
        <v>Due soon</v>
      </c>
      <c r="L6" s="27" t="str">
        <f aca="false">IF(K6="Overdue",Dashboard!$C$5-F6,"")</f>
        <v/>
      </c>
      <c r="M6" s="11"/>
    </row>
    <row r="7" customFormat="false" ht="26.85" hidden="false" customHeight="false" outlineLevel="0" collapsed="false">
      <c r="A7" s="20" t="str">
        <f aca="false">IF(C7="","","CA-"&amp;TEXT(ROW()-4,"000"))</f>
        <v>CA-003</v>
      </c>
      <c r="B7" s="11" t="s">
        <v>227</v>
      </c>
      <c r="C7" s="11" t="s">
        <v>228</v>
      </c>
      <c r="D7" s="11" t="s">
        <v>229</v>
      </c>
      <c r="E7" s="11" t="s">
        <v>219</v>
      </c>
      <c r="F7" s="12" t="n">
        <v>46301</v>
      </c>
      <c r="G7" s="12"/>
      <c r="H7" s="11" t="s">
        <v>230</v>
      </c>
      <c r="I7" s="28"/>
      <c r="J7" s="11"/>
      <c r="K7" s="20" t="str">
        <f aca="false">IF(C7="","",IF(AND(G7&lt;&gt;"",I7="Yes"),"Closed",IF(G7&lt;&gt;"","Awaiting verification",IF(F7="","No due date",IF(F7&lt;Dashboard!$C$5,"Overdue",IF(F7-Dashboard!$C$5&lt;=Lists!$Q$2,"Due soon","Open"))))))</f>
        <v>Overdue</v>
      </c>
      <c r="L7" s="27" t="n">
        <f aca="false">IF(K7="Overdue",Dashboard!$C$5-F7,"")</f>
        <v>2</v>
      </c>
      <c r="M7" s="11"/>
    </row>
    <row r="8" customFormat="false" ht="26.85" hidden="false" customHeight="false" outlineLevel="0" collapsed="false">
      <c r="A8" s="20" t="str">
        <f aca="false">IF(C8="","","CA-"&amp;TEXT(ROW()-4,"000"))</f>
        <v>CA-004</v>
      </c>
      <c r="B8" s="11" t="s">
        <v>227</v>
      </c>
      <c r="C8" s="11" t="s">
        <v>231</v>
      </c>
      <c r="D8" s="11" t="s">
        <v>232</v>
      </c>
      <c r="E8" s="11" t="s">
        <v>233</v>
      </c>
      <c r="F8" s="12" t="n">
        <v>46326</v>
      </c>
      <c r="G8" s="12"/>
      <c r="H8" s="11" t="s">
        <v>234</v>
      </c>
      <c r="I8" s="28"/>
      <c r="J8" s="11"/>
      <c r="K8" s="20" t="str">
        <f aca="false">IF(C8="","",IF(AND(G8&lt;&gt;"",I8="Yes"),"Closed",IF(G8&lt;&gt;"","Awaiting verification",IF(F8="","No due date",IF(F8&lt;Dashboard!$C$5,"Overdue",IF(F8-Dashboard!$C$5&lt;=Lists!$Q$2,"Due soon","Open"))))))</f>
        <v>Open</v>
      </c>
      <c r="L8" s="27" t="str">
        <f aca="false">IF(K8="Overdue",Dashboard!$C$5-F8,"")</f>
        <v/>
      </c>
      <c r="M8" s="11"/>
    </row>
    <row r="9" customFormat="false" ht="15" hidden="false" customHeight="false" outlineLevel="0" collapsed="false">
      <c r="A9" s="20" t="str">
        <f aca="false">IF(C9="","","CA-"&amp;TEXT(ROW()-4,"000"))</f>
        <v/>
      </c>
      <c r="B9" s="11"/>
      <c r="C9" s="11"/>
      <c r="D9" s="11"/>
      <c r="E9" s="11"/>
      <c r="F9" s="12"/>
      <c r="G9" s="12"/>
      <c r="H9" s="11"/>
      <c r="I9" s="28"/>
      <c r="J9" s="11"/>
      <c r="K9" s="20" t="str">
        <f aca="false">IF(C9="","",IF(AND(G9&lt;&gt;"",I9="Yes"),"Closed",IF(G9&lt;&gt;"","Awaiting verification",IF(F9="","No due date",IF(F9&lt;Dashboard!$C$5,"Overdue",IF(F9-Dashboard!$C$5&lt;=Lists!$Q$2,"Due soon","Open"))))))</f>
        <v/>
      </c>
      <c r="L9" s="27" t="str">
        <f aca="false">IF(K9="Overdue",Dashboard!$C$5-F9,"")</f>
        <v/>
      </c>
      <c r="M9" s="11"/>
    </row>
    <row r="10" customFormat="false" ht="15" hidden="false" customHeight="false" outlineLevel="0" collapsed="false">
      <c r="A10" s="20" t="str">
        <f aca="false">IF(C10="","","CA-"&amp;TEXT(ROW()-4,"000"))</f>
        <v/>
      </c>
      <c r="B10" s="11"/>
      <c r="C10" s="11"/>
      <c r="D10" s="11"/>
      <c r="E10" s="11"/>
      <c r="F10" s="12"/>
      <c r="G10" s="12"/>
      <c r="H10" s="11"/>
      <c r="I10" s="28"/>
      <c r="J10" s="11"/>
      <c r="K10" s="20" t="str">
        <f aca="false">IF(C10="","",IF(AND(G10&lt;&gt;"",I10="Yes"),"Closed",IF(G10&lt;&gt;"","Awaiting verification",IF(F10="","No due date",IF(F10&lt;Dashboard!$C$5,"Overdue",IF(F10-Dashboard!$C$5&lt;=Lists!$Q$2,"Due soon","Open"))))))</f>
        <v/>
      </c>
      <c r="L10" s="27" t="str">
        <f aca="false">IF(K10="Overdue",Dashboard!$C$5-F10,"")</f>
        <v/>
      </c>
      <c r="M10" s="11"/>
    </row>
    <row r="11" customFormat="false" ht="15" hidden="false" customHeight="false" outlineLevel="0" collapsed="false">
      <c r="A11" s="20" t="str">
        <f aca="false">IF(C11="","","CA-"&amp;TEXT(ROW()-4,"000"))</f>
        <v/>
      </c>
      <c r="B11" s="11"/>
      <c r="C11" s="11"/>
      <c r="D11" s="11"/>
      <c r="E11" s="11"/>
      <c r="F11" s="12"/>
      <c r="G11" s="12"/>
      <c r="H11" s="11"/>
      <c r="I11" s="28"/>
      <c r="J11" s="11"/>
      <c r="K11" s="20" t="str">
        <f aca="false">IF(C11="","",IF(AND(G11&lt;&gt;"",I11="Yes"),"Closed",IF(G11&lt;&gt;"","Awaiting verification",IF(F11="","No due date",IF(F11&lt;Dashboard!$C$5,"Overdue",IF(F11-Dashboard!$C$5&lt;=Lists!$Q$2,"Due soon","Open"))))))</f>
        <v/>
      </c>
      <c r="L11" s="27" t="str">
        <f aca="false">IF(K11="Overdue",Dashboard!$C$5-F11,"")</f>
        <v/>
      </c>
      <c r="M11" s="11"/>
    </row>
    <row r="12" customFormat="false" ht="15" hidden="false" customHeight="false" outlineLevel="0" collapsed="false">
      <c r="A12" s="20" t="str">
        <f aca="false">IF(C12="","","CA-"&amp;TEXT(ROW()-4,"000"))</f>
        <v/>
      </c>
      <c r="B12" s="11"/>
      <c r="C12" s="11"/>
      <c r="D12" s="11"/>
      <c r="E12" s="11"/>
      <c r="F12" s="12"/>
      <c r="G12" s="12"/>
      <c r="H12" s="11"/>
      <c r="I12" s="28"/>
      <c r="J12" s="11"/>
      <c r="K12" s="20" t="str">
        <f aca="false">IF(C12="","",IF(AND(G12&lt;&gt;"",I12="Yes"),"Closed",IF(G12&lt;&gt;"","Awaiting verification",IF(F12="","No due date",IF(F12&lt;Dashboard!$C$5,"Overdue",IF(F12-Dashboard!$C$5&lt;=Lists!$Q$2,"Due soon","Open"))))))</f>
        <v/>
      </c>
      <c r="L12" s="27" t="str">
        <f aca="false">IF(K12="Overdue",Dashboard!$C$5-F12,"")</f>
        <v/>
      </c>
      <c r="M12" s="11"/>
    </row>
    <row r="13" customFormat="false" ht="15" hidden="false" customHeight="false" outlineLevel="0" collapsed="false">
      <c r="A13" s="20" t="str">
        <f aca="false">IF(C13="","","CA-"&amp;TEXT(ROW()-4,"000"))</f>
        <v/>
      </c>
      <c r="B13" s="11"/>
      <c r="C13" s="11"/>
      <c r="D13" s="11"/>
      <c r="E13" s="11"/>
      <c r="F13" s="12"/>
      <c r="G13" s="12"/>
      <c r="H13" s="11"/>
      <c r="I13" s="28"/>
      <c r="J13" s="11"/>
      <c r="K13" s="20" t="str">
        <f aca="false">IF(C13="","",IF(AND(G13&lt;&gt;"",I13="Yes"),"Closed",IF(G13&lt;&gt;"","Awaiting verification",IF(F13="","No due date",IF(F13&lt;Dashboard!$C$5,"Overdue",IF(F13-Dashboard!$C$5&lt;=Lists!$Q$2,"Due soon","Open"))))))</f>
        <v/>
      </c>
      <c r="L13" s="27" t="str">
        <f aca="false">IF(K13="Overdue",Dashboard!$C$5-F13,"")</f>
        <v/>
      </c>
      <c r="M13" s="11"/>
    </row>
    <row r="14" customFormat="false" ht="15" hidden="false" customHeight="false" outlineLevel="0" collapsed="false">
      <c r="A14" s="20" t="str">
        <f aca="false">IF(C14="","","CA-"&amp;TEXT(ROW()-4,"000"))</f>
        <v/>
      </c>
      <c r="B14" s="11"/>
      <c r="C14" s="11"/>
      <c r="D14" s="11"/>
      <c r="E14" s="11"/>
      <c r="F14" s="12"/>
      <c r="G14" s="12"/>
      <c r="H14" s="11"/>
      <c r="I14" s="28"/>
      <c r="J14" s="11"/>
      <c r="K14" s="20" t="str">
        <f aca="false">IF(C14="","",IF(AND(G14&lt;&gt;"",I14="Yes"),"Closed",IF(G14&lt;&gt;"","Awaiting verification",IF(F14="","No due date",IF(F14&lt;Dashboard!$C$5,"Overdue",IF(F14-Dashboard!$C$5&lt;=Lists!$Q$2,"Due soon","Open"))))))</f>
        <v/>
      </c>
      <c r="L14" s="27" t="str">
        <f aca="false">IF(K14="Overdue",Dashboard!$C$5-F14,"")</f>
        <v/>
      </c>
      <c r="M14" s="11"/>
    </row>
    <row r="15" customFormat="false" ht="15" hidden="false" customHeight="false" outlineLevel="0" collapsed="false">
      <c r="A15" s="20" t="str">
        <f aca="false">IF(C15="","","CA-"&amp;TEXT(ROW()-4,"000"))</f>
        <v/>
      </c>
      <c r="B15" s="11"/>
      <c r="C15" s="11"/>
      <c r="D15" s="11"/>
      <c r="E15" s="11"/>
      <c r="F15" s="12"/>
      <c r="G15" s="12"/>
      <c r="H15" s="11"/>
      <c r="I15" s="28"/>
      <c r="J15" s="11"/>
      <c r="K15" s="20" t="str">
        <f aca="false">IF(C15="","",IF(AND(G15&lt;&gt;"",I15="Yes"),"Closed",IF(G15&lt;&gt;"","Awaiting verification",IF(F15="","No due date",IF(F15&lt;Dashboard!$C$5,"Overdue",IF(F15-Dashboard!$C$5&lt;=Lists!$Q$2,"Due soon","Open"))))))</f>
        <v/>
      </c>
      <c r="L15" s="27" t="str">
        <f aca="false">IF(K15="Overdue",Dashboard!$C$5-F15,"")</f>
        <v/>
      </c>
      <c r="M15" s="11"/>
    </row>
    <row r="16" customFormat="false" ht="15" hidden="false" customHeight="false" outlineLevel="0" collapsed="false">
      <c r="A16" s="20" t="str">
        <f aca="false">IF(C16="","","CA-"&amp;TEXT(ROW()-4,"000"))</f>
        <v/>
      </c>
      <c r="B16" s="11"/>
      <c r="C16" s="11"/>
      <c r="D16" s="11"/>
      <c r="E16" s="11"/>
      <c r="F16" s="12"/>
      <c r="G16" s="12"/>
      <c r="H16" s="11"/>
      <c r="I16" s="28"/>
      <c r="J16" s="11"/>
      <c r="K16" s="20" t="str">
        <f aca="false">IF(C16="","",IF(AND(G16&lt;&gt;"",I16="Yes"),"Closed",IF(G16&lt;&gt;"","Awaiting verification",IF(F16="","No due date",IF(F16&lt;Dashboard!$C$5,"Overdue",IF(F16-Dashboard!$C$5&lt;=Lists!$Q$2,"Due soon","Open"))))))</f>
        <v/>
      </c>
      <c r="L16" s="27" t="str">
        <f aca="false">IF(K16="Overdue",Dashboard!$C$5-F16,"")</f>
        <v/>
      </c>
      <c r="M16" s="11"/>
    </row>
    <row r="17" customFormat="false" ht="15" hidden="false" customHeight="false" outlineLevel="0" collapsed="false">
      <c r="A17" s="20" t="str">
        <f aca="false">IF(C17="","","CA-"&amp;TEXT(ROW()-4,"000"))</f>
        <v/>
      </c>
      <c r="B17" s="11"/>
      <c r="C17" s="11"/>
      <c r="D17" s="11"/>
      <c r="E17" s="11"/>
      <c r="F17" s="12"/>
      <c r="G17" s="12"/>
      <c r="H17" s="11"/>
      <c r="I17" s="28"/>
      <c r="J17" s="11"/>
      <c r="K17" s="20" t="str">
        <f aca="false">IF(C17="","",IF(AND(G17&lt;&gt;"",I17="Yes"),"Closed",IF(G17&lt;&gt;"","Awaiting verification",IF(F17="","No due date",IF(F17&lt;Dashboard!$C$5,"Overdue",IF(F17-Dashboard!$C$5&lt;=Lists!$Q$2,"Due soon","Open"))))))</f>
        <v/>
      </c>
      <c r="L17" s="27" t="str">
        <f aca="false">IF(K17="Overdue",Dashboard!$C$5-F17,"")</f>
        <v/>
      </c>
      <c r="M17" s="11"/>
    </row>
    <row r="18" customFormat="false" ht="15" hidden="false" customHeight="false" outlineLevel="0" collapsed="false">
      <c r="A18" s="20" t="str">
        <f aca="false">IF(C18="","","CA-"&amp;TEXT(ROW()-4,"000"))</f>
        <v/>
      </c>
      <c r="B18" s="11"/>
      <c r="C18" s="11"/>
      <c r="D18" s="11"/>
      <c r="E18" s="11"/>
      <c r="F18" s="12"/>
      <c r="G18" s="12"/>
      <c r="H18" s="11"/>
      <c r="I18" s="28"/>
      <c r="J18" s="11"/>
      <c r="K18" s="20" t="str">
        <f aca="false">IF(C18="","",IF(AND(G18&lt;&gt;"",I18="Yes"),"Closed",IF(G18&lt;&gt;"","Awaiting verification",IF(F18="","No due date",IF(F18&lt;Dashboard!$C$5,"Overdue",IF(F18-Dashboard!$C$5&lt;=Lists!$Q$2,"Due soon","Open"))))))</f>
        <v/>
      </c>
      <c r="L18" s="27" t="str">
        <f aca="false">IF(K18="Overdue",Dashboard!$C$5-F18,"")</f>
        <v/>
      </c>
      <c r="M18" s="11"/>
    </row>
    <row r="19" customFormat="false" ht="15" hidden="false" customHeight="false" outlineLevel="0" collapsed="false">
      <c r="A19" s="20" t="str">
        <f aca="false">IF(C19="","","CA-"&amp;TEXT(ROW()-4,"000"))</f>
        <v/>
      </c>
      <c r="B19" s="11"/>
      <c r="C19" s="11"/>
      <c r="D19" s="11"/>
      <c r="E19" s="11"/>
      <c r="F19" s="12"/>
      <c r="G19" s="12"/>
      <c r="H19" s="11"/>
      <c r="I19" s="28"/>
      <c r="J19" s="11"/>
      <c r="K19" s="20" t="str">
        <f aca="false">IF(C19="","",IF(AND(G19&lt;&gt;"",I19="Yes"),"Closed",IF(G19&lt;&gt;"","Awaiting verification",IF(F19="","No due date",IF(F19&lt;Dashboard!$C$5,"Overdue",IF(F19-Dashboard!$C$5&lt;=Lists!$Q$2,"Due soon","Open"))))))</f>
        <v/>
      </c>
      <c r="L19" s="27" t="str">
        <f aca="false">IF(K19="Overdue",Dashboard!$C$5-F19,"")</f>
        <v/>
      </c>
      <c r="M19" s="11"/>
    </row>
    <row r="20" customFormat="false" ht="15" hidden="false" customHeight="false" outlineLevel="0" collapsed="false">
      <c r="A20" s="20" t="str">
        <f aca="false">IF(C20="","","CA-"&amp;TEXT(ROW()-4,"000"))</f>
        <v/>
      </c>
      <c r="B20" s="11"/>
      <c r="C20" s="11"/>
      <c r="D20" s="11"/>
      <c r="E20" s="11"/>
      <c r="F20" s="12"/>
      <c r="G20" s="12"/>
      <c r="H20" s="11"/>
      <c r="I20" s="28"/>
      <c r="J20" s="11"/>
      <c r="K20" s="20" t="str">
        <f aca="false">IF(C20="","",IF(AND(G20&lt;&gt;"",I20="Yes"),"Closed",IF(G20&lt;&gt;"","Awaiting verification",IF(F20="","No due date",IF(F20&lt;Dashboard!$C$5,"Overdue",IF(F20-Dashboard!$C$5&lt;=Lists!$Q$2,"Due soon","Open"))))))</f>
        <v/>
      </c>
      <c r="L20" s="27" t="str">
        <f aca="false">IF(K20="Overdue",Dashboard!$C$5-F20,"")</f>
        <v/>
      </c>
      <c r="M20" s="11"/>
    </row>
    <row r="21" customFormat="false" ht="15" hidden="false" customHeight="false" outlineLevel="0" collapsed="false">
      <c r="A21" s="20" t="str">
        <f aca="false">IF(C21="","","CA-"&amp;TEXT(ROW()-4,"000"))</f>
        <v/>
      </c>
      <c r="B21" s="11"/>
      <c r="C21" s="11"/>
      <c r="D21" s="11"/>
      <c r="E21" s="11"/>
      <c r="F21" s="12"/>
      <c r="G21" s="12"/>
      <c r="H21" s="11"/>
      <c r="I21" s="28"/>
      <c r="J21" s="11"/>
      <c r="K21" s="20" t="str">
        <f aca="false">IF(C21="","",IF(AND(G21&lt;&gt;"",I21="Yes"),"Closed",IF(G21&lt;&gt;"","Awaiting verification",IF(F21="","No due date",IF(F21&lt;Dashboard!$C$5,"Overdue",IF(F21-Dashboard!$C$5&lt;=Lists!$Q$2,"Due soon","Open"))))))</f>
        <v/>
      </c>
      <c r="L21" s="27" t="str">
        <f aca="false">IF(K21="Overdue",Dashboard!$C$5-F21,"")</f>
        <v/>
      </c>
      <c r="M21" s="11"/>
    </row>
    <row r="22" customFormat="false" ht="15" hidden="false" customHeight="false" outlineLevel="0" collapsed="false">
      <c r="A22" s="20" t="str">
        <f aca="false">IF(C22="","","CA-"&amp;TEXT(ROW()-4,"000"))</f>
        <v/>
      </c>
      <c r="B22" s="11"/>
      <c r="C22" s="11"/>
      <c r="D22" s="11"/>
      <c r="E22" s="11"/>
      <c r="F22" s="12"/>
      <c r="G22" s="12"/>
      <c r="H22" s="11"/>
      <c r="I22" s="28"/>
      <c r="J22" s="11"/>
      <c r="K22" s="20" t="str">
        <f aca="false">IF(C22="","",IF(AND(G22&lt;&gt;"",I22="Yes"),"Closed",IF(G22&lt;&gt;"","Awaiting verification",IF(F22="","No due date",IF(F22&lt;Dashboard!$C$5,"Overdue",IF(F22-Dashboard!$C$5&lt;=Lists!$Q$2,"Due soon","Open"))))))</f>
        <v/>
      </c>
      <c r="L22" s="27" t="str">
        <f aca="false">IF(K22="Overdue",Dashboard!$C$5-F22,"")</f>
        <v/>
      </c>
      <c r="M22" s="11"/>
    </row>
    <row r="23" customFormat="false" ht="15" hidden="false" customHeight="false" outlineLevel="0" collapsed="false">
      <c r="A23" s="20" t="str">
        <f aca="false">IF(C23="","","CA-"&amp;TEXT(ROW()-4,"000"))</f>
        <v/>
      </c>
      <c r="B23" s="11"/>
      <c r="C23" s="11"/>
      <c r="D23" s="11"/>
      <c r="E23" s="11"/>
      <c r="F23" s="12"/>
      <c r="G23" s="12"/>
      <c r="H23" s="11"/>
      <c r="I23" s="28"/>
      <c r="J23" s="11"/>
      <c r="K23" s="20" t="str">
        <f aca="false">IF(C23="","",IF(AND(G23&lt;&gt;"",I23="Yes"),"Closed",IF(G23&lt;&gt;"","Awaiting verification",IF(F23="","No due date",IF(F23&lt;Dashboard!$C$5,"Overdue",IF(F23-Dashboard!$C$5&lt;=Lists!$Q$2,"Due soon","Open"))))))</f>
        <v/>
      </c>
      <c r="L23" s="27" t="str">
        <f aca="false">IF(K23="Overdue",Dashboard!$C$5-F23,"")</f>
        <v/>
      </c>
      <c r="M23" s="11"/>
    </row>
    <row r="24" customFormat="false" ht="15" hidden="false" customHeight="false" outlineLevel="0" collapsed="false">
      <c r="A24" s="20" t="str">
        <f aca="false">IF(C24="","","CA-"&amp;TEXT(ROW()-4,"000"))</f>
        <v/>
      </c>
      <c r="B24" s="11"/>
      <c r="C24" s="11"/>
      <c r="D24" s="11"/>
      <c r="E24" s="11"/>
      <c r="F24" s="12"/>
      <c r="G24" s="12"/>
      <c r="H24" s="11"/>
      <c r="I24" s="28"/>
      <c r="J24" s="11"/>
      <c r="K24" s="20" t="str">
        <f aca="false">IF(C24="","",IF(AND(G24&lt;&gt;"",I24="Yes"),"Closed",IF(G24&lt;&gt;"","Awaiting verification",IF(F24="","No due date",IF(F24&lt;Dashboard!$C$5,"Overdue",IF(F24-Dashboard!$C$5&lt;=Lists!$Q$2,"Due soon","Open"))))))</f>
        <v/>
      </c>
      <c r="L24" s="27" t="str">
        <f aca="false">IF(K24="Overdue",Dashboard!$C$5-F24,"")</f>
        <v/>
      </c>
      <c r="M24" s="11"/>
    </row>
    <row r="25" customFormat="false" ht="15" hidden="false" customHeight="false" outlineLevel="0" collapsed="false">
      <c r="A25" s="20" t="str">
        <f aca="false">IF(C25="","","CA-"&amp;TEXT(ROW()-4,"000"))</f>
        <v/>
      </c>
      <c r="B25" s="11"/>
      <c r="C25" s="11"/>
      <c r="D25" s="11"/>
      <c r="E25" s="11"/>
      <c r="F25" s="12"/>
      <c r="G25" s="12"/>
      <c r="H25" s="11"/>
      <c r="I25" s="28"/>
      <c r="J25" s="11"/>
      <c r="K25" s="20" t="str">
        <f aca="false">IF(C25="","",IF(AND(G25&lt;&gt;"",I25="Yes"),"Closed",IF(G25&lt;&gt;"","Awaiting verification",IF(F25="","No due date",IF(F25&lt;Dashboard!$C$5,"Overdue",IF(F25-Dashboard!$C$5&lt;=Lists!$Q$2,"Due soon","Open"))))))</f>
        <v/>
      </c>
      <c r="L25" s="27" t="str">
        <f aca="false">IF(K25="Overdue",Dashboard!$C$5-F25,"")</f>
        <v/>
      </c>
      <c r="M25" s="11"/>
    </row>
    <row r="26" customFormat="false" ht="15" hidden="false" customHeight="false" outlineLevel="0" collapsed="false">
      <c r="A26" s="20" t="str">
        <f aca="false">IF(C26="","","CA-"&amp;TEXT(ROW()-4,"000"))</f>
        <v/>
      </c>
      <c r="B26" s="11"/>
      <c r="C26" s="11"/>
      <c r="D26" s="11"/>
      <c r="E26" s="11"/>
      <c r="F26" s="12"/>
      <c r="G26" s="12"/>
      <c r="H26" s="11"/>
      <c r="I26" s="28"/>
      <c r="J26" s="11"/>
      <c r="K26" s="20" t="str">
        <f aca="false">IF(C26="","",IF(AND(G26&lt;&gt;"",I26="Yes"),"Closed",IF(G26&lt;&gt;"","Awaiting verification",IF(F26="","No due date",IF(F26&lt;Dashboard!$C$5,"Overdue",IF(F26-Dashboard!$C$5&lt;=Lists!$Q$2,"Due soon","Open"))))))</f>
        <v/>
      </c>
      <c r="L26" s="27" t="str">
        <f aca="false">IF(K26="Overdue",Dashboard!$C$5-F26,"")</f>
        <v/>
      </c>
      <c r="M26" s="11"/>
    </row>
    <row r="27" customFormat="false" ht="15" hidden="false" customHeight="false" outlineLevel="0" collapsed="false">
      <c r="A27" s="20" t="str">
        <f aca="false">IF(C27="","","CA-"&amp;TEXT(ROW()-4,"000"))</f>
        <v/>
      </c>
      <c r="B27" s="11"/>
      <c r="C27" s="11"/>
      <c r="D27" s="11"/>
      <c r="E27" s="11"/>
      <c r="F27" s="12"/>
      <c r="G27" s="12"/>
      <c r="H27" s="11"/>
      <c r="I27" s="28"/>
      <c r="J27" s="11"/>
      <c r="K27" s="20" t="str">
        <f aca="false">IF(C27="","",IF(AND(G27&lt;&gt;"",I27="Yes"),"Closed",IF(G27&lt;&gt;"","Awaiting verification",IF(F27="","No due date",IF(F27&lt;Dashboard!$C$5,"Overdue",IF(F27-Dashboard!$C$5&lt;=Lists!$Q$2,"Due soon","Open"))))))</f>
        <v/>
      </c>
      <c r="L27" s="27" t="str">
        <f aca="false">IF(K27="Overdue",Dashboard!$C$5-F27,"")</f>
        <v/>
      </c>
      <c r="M27" s="11"/>
    </row>
    <row r="28" customFormat="false" ht="15" hidden="false" customHeight="false" outlineLevel="0" collapsed="false">
      <c r="A28" s="20" t="str">
        <f aca="false">IF(C28="","","CA-"&amp;TEXT(ROW()-4,"000"))</f>
        <v/>
      </c>
      <c r="B28" s="11"/>
      <c r="C28" s="11"/>
      <c r="D28" s="11"/>
      <c r="E28" s="11"/>
      <c r="F28" s="12"/>
      <c r="G28" s="12"/>
      <c r="H28" s="11"/>
      <c r="I28" s="28"/>
      <c r="J28" s="11"/>
      <c r="K28" s="20" t="str">
        <f aca="false">IF(C28="","",IF(AND(G28&lt;&gt;"",I28="Yes"),"Closed",IF(G28&lt;&gt;"","Awaiting verification",IF(F28="","No due date",IF(F28&lt;Dashboard!$C$5,"Overdue",IF(F28-Dashboard!$C$5&lt;=Lists!$Q$2,"Due soon","Open"))))))</f>
        <v/>
      </c>
      <c r="L28" s="27" t="str">
        <f aca="false">IF(K28="Overdue",Dashboard!$C$5-F28,"")</f>
        <v/>
      </c>
      <c r="M28" s="11"/>
    </row>
    <row r="29" customFormat="false" ht="15" hidden="false" customHeight="false" outlineLevel="0" collapsed="false">
      <c r="A29" s="20" t="str">
        <f aca="false">IF(C29="","","CA-"&amp;TEXT(ROW()-4,"000"))</f>
        <v/>
      </c>
      <c r="B29" s="11"/>
      <c r="C29" s="11"/>
      <c r="D29" s="11"/>
      <c r="E29" s="11"/>
      <c r="F29" s="12"/>
      <c r="G29" s="12"/>
      <c r="H29" s="11"/>
      <c r="I29" s="28"/>
      <c r="J29" s="11"/>
      <c r="K29" s="20" t="str">
        <f aca="false">IF(C29="","",IF(AND(G29&lt;&gt;"",I29="Yes"),"Closed",IF(G29&lt;&gt;"","Awaiting verification",IF(F29="","No due date",IF(F29&lt;Dashboard!$C$5,"Overdue",IF(F29-Dashboard!$C$5&lt;=Lists!$Q$2,"Due soon","Open"))))))</f>
        <v/>
      </c>
      <c r="L29" s="27" t="str">
        <f aca="false">IF(K29="Overdue",Dashboard!$C$5-F29,"")</f>
        <v/>
      </c>
      <c r="M29" s="11"/>
    </row>
    <row r="30" customFormat="false" ht="15" hidden="false" customHeight="false" outlineLevel="0" collapsed="false">
      <c r="A30" s="20" t="str">
        <f aca="false">IF(C30="","","CA-"&amp;TEXT(ROW()-4,"000"))</f>
        <v/>
      </c>
      <c r="B30" s="11"/>
      <c r="C30" s="11"/>
      <c r="D30" s="11"/>
      <c r="E30" s="11"/>
      <c r="F30" s="12"/>
      <c r="G30" s="12"/>
      <c r="H30" s="11"/>
      <c r="I30" s="28"/>
      <c r="J30" s="11"/>
      <c r="K30" s="20" t="str">
        <f aca="false">IF(C30="","",IF(AND(G30&lt;&gt;"",I30="Yes"),"Closed",IF(G30&lt;&gt;"","Awaiting verification",IF(F30="","No due date",IF(F30&lt;Dashboard!$C$5,"Overdue",IF(F30-Dashboard!$C$5&lt;=Lists!$Q$2,"Due soon","Open"))))))</f>
        <v/>
      </c>
      <c r="L30" s="27" t="str">
        <f aca="false">IF(K30="Overdue",Dashboard!$C$5-F30,"")</f>
        <v/>
      </c>
      <c r="M30" s="11"/>
    </row>
    <row r="31" customFormat="false" ht="15" hidden="false" customHeight="false" outlineLevel="0" collapsed="false">
      <c r="A31" s="20" t="str">
        <f aca="false">IF(C31="","","CA-"&amp;TEXT(ROW()-4,"000"))</f>
        <v/>
      </c>
      <c r="B31" s="11"/>
      <c r="C31" s="11"/>
      <c r="D31" s="11"/>
      <c r="E31" s="11"/>
      <c r="F31" s="12"/>
      <c r="G31" s="12"/>
      <c r="H31" s="11"/>
      <c r="I31" s="28"/>
      <c r="J31" s="11"/>
      <c r="K31" s="20" t="str">
        <f aca="false">IF(C31="","",IF(AND(G31&lt;&gt;"",I31="Yes"),"Closed",IF(G31&lt;&gt;"","Awaiting verification",IF(F31="","No due date",IF(F31&lt;Dashboard!$C$5,"Overdue",IF(F31-Dashboard!$C$5&lt;=Lists!$Q$2,"Due soon","Open"))))))</f>
        <v/>
      </c>
      <c r="L31" s="27" t="str">
        <f aca="false">IF(K31="Overdue",Dashboard!$C$5-F31,"")</f>
        <v/>
      </c>
      <c r="M31" s="11"/>
    </row>
    <row r="32" customFormat="false" ht="15" hidden="false" customHeight="false" outlineLevel="0" collapsed="false">
      <c r="A32" s="20" t="str">
        <f aca="false">IF(C32="","","CA-"&amp;TEXT(ROW()-4,"000"))</f>
        <v/>
      </c>
      <c r="B32" s="11"/>
      <c r="C32" s="11"/>
      <c r="D32" s="11"/>
      <c r="E32" s="11"/>
      <c r="F32" s="12"/>
      <c r="G32" s="12"/>
      <c r="H32" s="11"/>
      <c r="I32" s="28"/>
      <c r="J32" s="11"/>
      <c r="K32" s="20" t="str">
        <f aca="false">IF(C32="","",IF(AND(G32&lt;&gt;"",I32="Yes"),"Closed",IF(G32&lt;&gt;"","Awaiting verification",IF(F32="","No due date",IF(F32&lt;Dashboard!$C$5,"Overdue",IF(F32-Dashboard!$C$5&lt;=Lists!$Q$2,"Due soon","Open"))))))</f>
        <v/>
      </c>
      <c r="L32" s="27" t="str">
        <f aca="false">IF(K32="Overdue",Dashboard!$C$5-F32,"")</f>
        <v/>
      </c>
      <c r="M32" s="11"/>
    </row>
    <row r="33" customFormat="false" ht="15" hidden="false" customHeight="false" outlineLevel="0" collapsed="false">
      <c r="A33" s="20" t="str">
        <f aca="false">IF(C33="","","CA-"&amp;TEXT(ROW()-4,"000"))</f>
        <v/>
      </c>
      <c r="B33" s="11"/>
      <c r="C33" s="11"/>
      <c r="D33" s="11"/>
      <c r="E33" s="11"/>
      <c r="F33" s="12"/>
      <c r="G33" s="12"/>
      <c r="H33" s="11"/>
      <c r="I33" s="28"/>
      <c r="J33" s="11"/>
      <c r="K33" s="20" t="str">
        <f aca="false">IF(C33="","",IF(AND(G33&lt;&gt;"",I33="Yes"),"Closed",IF(G33&lt;&gt;"","Awaiting verification",IF(F33="","No due date",IF(F33&lt;Dashboard!$C$5,"Overdue",IF(F33-Dashboard!$C$5&lt;=Lists!$Q$2,"Due soon","Open"))))))</f>
        <v/>
      </c>
      <c r="L33" s="27" t="str">
        <f aca="false">IF(K33="Overdue",Dashboard!$C$5-F33,"")</f>
        <v/>
      </c>
      <c r="M33" s="11"/>
    </row>
    <row r="34" customFormat="false" ht="15" hidden="false" customHeight="false" outlineLevel="0" collapsed="false">
      <c r="A34" s="20" t="str">
        <f aca="false">IF(C34="","","CA-"&amp;TEXT(ROW()-4,"000"))</f>
        <v/>
      </c>
      <c r="B34" s="11"/>
      <c r="C34" s="11"/>
      <c r="D34" s="11"/>
      <c r="E34" s="11"/>
      <c r="F34" s="12"/>
      <c r="G34" s="12"/>
      <c r="H34" s="11"/>
      <c r="I34" s="28"/>
      <c r="J34" s="11"/>
      <c r="K34" s="20" t="str">
        <f aca="false">IF(C34="","",IF(AND(G34&lt;&gt;"",I34="Yes"),"Closed",IF(G34&lt;&gt;"","Awaiting verification",IF(F34="","No due date",IF(F34&lt;Dashboard!$C$5,"Overdue",IF(F34-Dashboard!$C$5&lt;=Lists!$Q$2,"Due soon","Open"))))))</f>
        <v/>
      </c>
      <c r="L34" s="27" t="str">
        <f aca="false">IF(K34="Overdue",Dashboard!$C$5-F34,"")</f>
        <v/>
      </c>
      <c r="M34" s="11"/>
    </row>
    <row r="35" customFormat="false" ht="15" hidden="false" customHeight="false" outlineLevel="0" collapsed="false">
      <c r="A35" s="20" t="str">
        <f aca="false">IF(C35="","","CA-"&amp;TEXT(ROW()-4,"000"))</f>
        <v/>
      </c>
      <c r="B35" s="11"/>
      <c r="C35" s="11"/>
      <c r="D35" s="11"/>
      <c r="E35" s="11"/>
      <c r="F35" s="12"/>
      <c r="G35" s="12"/>
      <c r="H35" s="11"/>
      <c r="I35" s="28"/>
      <c r="J35" s="11"/>
      <c r="K35" s="20" t="str">
        <f aca="false">IF(C35="","",IF(AND(G35&lt;&gt;"",I35="Yes"),"Closed",IF(G35&lt;&gt;"","Awaiting verification",IF(F35="","No due date",IF(F35&lt;Dashboard!$C$5,"Overdue",IF(F35-Dashboard!$C$5&lt;=Lists!$Q$2,"Due soon","Open"))))))</f>
        <v/>
      </c>
      <c r="L35" s="27" t="str">
        <f aca="false">IF(K35="Overdue",Dashboard!$C$5-F35,"")</f>
        <v/>
      </c>
      <c r="M35" s="11"/>
    </row>
    <row r="36" customFormat="false" ht="15" hidden="false" customHeight="false" outlineLevel="0" collapsed="false">
      <c r="A36" s="20" t="str">
        <f aca="false">IF(C36="","","CA-"&amp;TEXT(ROW()-4,"000"))</f>
        <v/>
      </c>
      <c r="B36" s="11"/>
      <c r="C36" s="11"/>
      <c r="D36" s="11"/>
      <c r="E36" s="11"/>
      <c r="F36" s="12"/>
      <c r="G36" s="12"/>
      <c r="H36" s="11"/>
      <c r="I36" s="28"/>
      <c r="J36" s="11"/>
      <c r="K36" s="20" t="str">
        <f aca="false">IF(C36="","",IF(AND(G36&lt;&gt;"",I36="Yes"),"Closed",IF(G36&lt;&gt;"","Awaiting verification",IF(F36="","No due date",IF(F36&lt;Dashboard!$C$5,"Overdue",IF(F36-Dashboard!$C$5&lt;=Lists!$Q$2,"Due soon","Open"))))))</f>
        <v/>
      </c>
      <c r="L36" s="27" t="str">
        <f aca="false">IF(K36="Overdue",Dashboard!$C$5-F36,"")</f>
        <v/>
      </c>
      <c r="M36" s="11"/>
    </row>
    <row r="37" customFormat="false" ht="15" hidden="false" customHeight="false" outlineLevel="0" collapsed="false">
      <c r="A37" s="20" t="str">
        <f aca="false">IF(C37="","","CA-"&amp;TEXT(ROW()-4,"000"))</f>
        <v/>
      </c>
      <c r="B37" s="11"/>
      <c r="C37" s="11"/>
      <c r="D37" s="11"/>
      <c r="E37" s="11"/>
      <c r="F37" s="12"/>
      <c r="G37" s="12"/>
      <c r="H37" s="11"/>
      <c r="I37" s="28"/>
      <c r="J37" s="11"/>
      <c r="K37" s="20" t="str">
        <f aca="false">IF(C37="","",IF(AND(G37&lt;&gt;"",I37="Yes"),"Closed",IF(G37&lt;&gt;"","Awaiting verification",IF(F37="","No due date",IF(F37&lt;Dashboard!$C$5,"Overdue",IF(F37-Dashboard!$C$5&lt;=Lists!$Q$2,"Due soon","Open"))))))</f>
        <v/>
      </c>
      <c r="L37" s="27" t="str">
        <f aca="false">IF(K37="Overdue",Dashboard!$C$5-F37,"")</f>
        <v/>
      </c>
      <c r="M37" s="11"/>
    </row>
    <row r="38" customFormat="false" ht="15" hidden="false" customHeight="false" outlineLevel="0" collapsed="false">
      <c r="A38" s="20" t="str">
        <f aca="false">IF(C38="","","CA-"&amp;TEXT(ROW()-4,"000"))</f>
        <v/>
      </c>
      <c r="B38" s="11"/>
      <c r="C38" s="11"/>
      <c r="D38" s="11"/>
      <c r="E38" s="11"/>
      <c r="F38" s="12"/>
      <c r="G38" s="12"/>
      <c r="H38" s="11"/>
      <c r="I38" s="28"/>
      <c r="J38" s="11"/>
      <c r="K38" s="20" t="str">
        <f aca="false">IF(C38="","",IF(AND(G38&lt;&gt;"",I38="Yes"),"Closed",IF(G38&lt;&gt;"","Awaiting verification",IF(F38="","No due date",IF(F38&lt;Dashboard!$C$5,"Overdue",IF(F38-Dashboard!$C$5&lt;=Lists!$Q$2,"Due soon","Open"))))))</f>
        <v/>
      </c>
      <c r="L38" s="27" t="str">
        <f aca="false">IF(K38="Overdue",Dashboard!$C$5-F38,"")</f>
        <v/>
      </c>
      <c r="M38" s="11"/>
    </row>
    <row r="39" customFormat="false" ht="15" hidden="false" customHeight="false" outlineLevel="0" collapsed="false">
      <c r="A39" s="20" t="str">
        <f aca="false">IF(C39="","","CA-"&amp;TEXT(ROW()-4,"000"))</f>
        <v/>
      </c>
      <c r="B39" s="11"/>
      <c r="C39" s="11"/>
      <c r="D39" s="11"/>
      <c r="E39" s="11"/>
      <c r="F39" s="12"/>
      <c r="G39" s="12"/>
      <c r="H39" s="11"/>
      <c r="I39" s="28"/>
      <c r="J39" s="11"/>
      <c r="K39" s="20" t="str">
        <f aca="false">IF(C39="","",IF(AND(G39&lt;&gt;"",I39="Yes"),"Closed",IF(G39&lt;&gt;"","Awaiting verification",IF(F39="","No due date",IF(F39&lt;Dashboard!$C$5,"Overdue",IF(F39-Dashboard!$C$5&lt;=Lists!$Q$2,"Due soon","Open"))))))</f>
        <v/>
      </c>
      <c r="L39" s="27" t="str">
        <f aca="false">IF(K39="Overdue",Dashboard!$C$5-F39,"")</f>
        <v/>
      </c>
      <c r="M39" s="11"/>
    </row>
    <row r="40" customFormat="false" ht="15" hidden="false" customHeight="false" outlineLevel="0" collapsed="false">
      <c r="A40" s="20" t="str">
        <f aca="false">IF(C40="","","CA-"&amp;TEXT(ROW()-4,"000"))</f>
        <v/>
      </c>
      <c r="B40" s="11"/>
      <c r="C40" s="11"/>
      <c r="D40" s="11"/>
      <c r="E40" s="11"/>
      <c r="F40" s="12"/>
      <c r="G40" s="12"/>
      <c r="H40" s="11"/>
      <c r="I40" s="28"/>
      <c r="J40" s="11"/>
      <c r="K40" s="20" t="str">
        <f aca="false">IF(C40="","",IF(AND(G40&lt;&gt;"",I40="Yes"),"Closed",IF(G40&lt;&gt;"","Awaiting verification",IF(F40="","No due date",IF(F40&lt;Dashboard!$C$5,"Overdue",IF(F40-Dashboard!$C$5&lt;=Lists!$Q$2,"Due soon","Open"))))))</f>
        <v/>
      </c>
      <c r="L40" s="27" t="str">
        <f aca="false">IF(K40="Overdue",Dashboard!$C$5-F40,"")</f>
        <v/>
      </c>
      <c r="M40" s="11"/>
    </row>
    <row r="41" customFormat="false" ht="15" hidden="false" customHeight="false" outlineLevel="0" collapsed="false">
      <c r="A41" s="20" t="str">
        <f aca="false">IF(C41="","","CA-"&amp;TEXT(ROW()-4,"000"))</f>
        <v/>
      </c>
      <c r="B41" s="11"/>
      <c r="C41" s="11"/>
      <c r="D41" s="11"/>
      <c r="E41" s="11"/>
      <c r="F41" s="12"/>
      <c r="G41" s="12"/>
      <c r="H41" s="11"/>
      <c r="I41" s="28"/>
      <c r="J41" s="11"/>
      <c r="K41" s="20" t="str">
        <f aca="false">IF(C41="","",IF(AND(G41&lt;&gt;"",I41="Yes"),"Closed",IF(G41&lt;&gt;"","Awaiting verification",IF(F41="","No due date",IF(F41&lt;Dashboard!$C$5,"Overdue",IF(F41-Dashboard!$C$5&lt;=Lists!$Q$2,"Due soon","Open"))))))</f>
        <v/>
      </c>
      <c r="L41" s="27" t="str">
        <f aca="false">IF(K41="Overdue",Dashboard!$C$5-F41,"")</f>
        <v/>
      </c>
      <c r="M41" s="11"/>
    </row>
    <row r="42" customFormat="false" ht="15" hidden="false" customHeight="false" outlineLevel="0" collapsed="false">
      <c r="A42" s="20" t="str">
        <f aca="false">IF(C42="","","CA-"&amp;TEXT(ROW()-4,"000"))</f>
        <v/>
      </c>
      <c r="B42" s="11"/>
      <c r="C42" s="11"/>
      <c r="D42" s="11"/>
      <c r="E42" s="11"/>
      <c r="F42" s="12"/>
      <c r="G42" s="12"/>
      <c r="H42" s="11"/>
      <c r="I42" s="28"/>
      <c r="J42" s="11"/>
      <c r="K42" s="20" t="str">
        <f aca="false">IF(C42="","",IF(AND(G42&lt;&gt;"",I42="Yes"),"Closed",IF(G42&lt;&gt;"","Awaiting verification",IF(F42="","No due date",IF(F42&lt;Dashboard!$C$5,"Overdue",IF(F42-Dashboard!$C$5&lt;=Lists!$Q$2,"Due soon","Open"))))))</f>
        <v/>
      </c>
      <c r="L42" s="27" t="str">
        <f aca="false">IF(K42="Overdue",Dashboard!$C$5-F42,"")</f>
        <v/>
      </c>
      <c r="M42" s="11"/>
    </row>
    <row r="43" customFormat="false" ht="15" hidden="false" customHeight="false" outlineLevel="0" collapsed="false">
      <c r="A43" s="20" t="str">
        <f aca="false">IF(C43="","","CA-"&amp;TEXT(ROW()-4,"000"))</f>
        <v/>
      </c>
      <c r="B43" s="11"/>
      <c r="C43" s="11"/>
      <c r="D43" s="11"/>
      <c r="E43" s="11"/>
      <c r="F43" s="12"/>
      <c r="G43" s="12"/>
      <c r="H43" s="11"/>
      <c r="I43" s="28"/>
      <c r="J43" s="11"/>
      <c r="K43" s="20" t="str">
        <f aca="false">IF(C43="","",IF(AND(G43&lt;&gt;"",I43="Yes"),"Closed",IF(G43&lt;&gt;"","Awaiting verification",IF(F43="","No due date",IF(F43&lt;Dashboard!$C$5,"Overdue",IF(F43-Dashboard!$C$5&lt;=Lists!$Q$2,"Due soon","Open"))))))</f>
        <v/>
      </c>
      <c r="L43" s="27" t="str">
        <f aca="false">IF(K43="Overdue",Dashboard!$C$5-F43,"")</f>
        <v/>
      </c>
      <c r="M43" s="11"/>
    </row>
    <row r="44" customFormat="false" ht="15" hidden="false" customHeight="false" outlineLevel="0" collapsed="false">
      <c r="A44" s="20" t="str">
        <f aca="false">IF(C44="","","CA-"&amp;TEXT(ROW()-4,"000"))</f>
        <v/>
      </c>
      <c r="B44" s="11"/>
      <c r="C44" s="11"/>
      <c r="D44" s="11"/>
      <c r="E44" s="11"/>
      <c r="F44" s="12"/>
      <c r="G44" s="12"/>
      <c r="H44" s="11"/>
      <c r="I44" s="28"/>
      <c r="J44" s="11"/>
      <c r="K44" s="20" t="str">
        <f aca="false">IF(C44="","",IF(AND(G44&lt;&gt;"",I44="Yes"),"Closed",IF(G44&lt;&gt;"","Awaiting verification",IF(F44="","No due date",IF(F44&lt;Dashboard!$C$5,"Overdue",IF(F44-Dashboard!$C$5&lt;=Lists!$Q$2,"Due soon","Open"))))))</f>
        <v/>
      </c>
      <c r="L44" s="27" t="str">
        <f aca="false">IF(K44="Overdue",Dashboard!$C$5-F44,"")</f>
        <v/>
      </c>
      <c r="M44" s="11"/>
    </row>
    <row r="45" customFormat="false" ht="15" hidden="false" customHeight="false" outlineLevel="0" collapsed="false">
      <c r="A45" s="20" t="str">
        <f aca="false">IF(C45="","","CA-"&amp;TEXT(ROW()-4,"000"))</f>
        <v/>
      </c>
      <c r="B45" s="11"/>
      <c r="C45" s="11"/>
      <c r="D45" s="11"/>
      <c r="E45" s="11"/>
      <c r="F45" s="12"/>
      <c r="G45" s="12"/>
      <c r="H45" s="11"/>
      <c r="I45" s="28"/>
      <c r="J45" s="11"/>
      <c r="K45" s="20" t="str">
        <f aca="false">IF(C45="","",IF(AND(G45&lt;&gt;"",I45="Yes"),"Closed",IF(G45&lt;&gt;"","Awaiting verification",IF(F45="","No due date",IF(F45&lt;Dashboard!$C$5,"Overdue",IF(F45-Dashboard!$C$5&lt;=Lists!$Q$2,"Due soon","Open"))))))</f>
        <v/>
      </c>
      <c r="L45" s="27" t="str">
        <f aca="false">IF(K45="Overdue",Dashboard!$C$5-F45,"")</f>
        <v/>
      </c>
      <c r="M45" s="11"/>
    </row>
    <row r="46" customFormat="false" ht="15" hidden="false" customHeight="false" outlineLevel="0" collapsed="false">
      <c r="A46" s="20" t="str">
        <f aca="false">IF(C46="","","CA-"&amp;TEXT(ROW()-4,"000"))</f>
        <v/>
      </c>
      <c r="B46" s="11"/>
      <c r="C46" s="11"/>
      <c r="D46" s="11"/>
      <c r="E46" s="11"/>
      <c r="F46" s="12"/>
      <c r="G46" s="12"/>
      <c r="H46" s="11"/>
      <c r="I46" s="28"/>
      <c r="J46" s="11"/>
      <c r="K46" s="20" t="str">
        <f aca="false">IF(C46="","",IF(AND(G46&lt;&gt;"",I46="Yes"),"Closed",IF(G46&lt;&gt;"","Awaiting verification",IF(F46="","No due date",IF(F46&lt;Dashboard!$C$5,"Overdue",IF(F46-Dashboard!$C$5&lt;=Lists!$Q$2,"Due soon","Open"))))))</f>
        <v/>
      </c>
      <c r="L46" s="27" t="str">
        <f aca="false">IF(K46="Overdue",Dashboard!$C$5-F46,"")</f>
        <v/>
      </c>
      <c r="M46" s="11"/>
    </row>
    <row r="47" customFormat="false" ht="15" hidden="false" customHeight="false" outlineLevel="0" collapsed="false">
      <c r="A47" s="20" t="str">
        <f aca="false">IF(C47="","","CA-"&amp;TEXT(ROW()-4,"000"))</f>
        <v/>
      </c>
      <c r="B47" s="11"/>
      <c r="C47" s="11"/>
      <c r="D47" s="11"/>
      <c r="E47" s="11"/>
      <c r="F47" s="12"/>
      <c r="G47" s="12"/>
      <c r="H47" s="11"/>
      <c r="I47" s="28"/>
      <c r="J47" s="11"/>
      <c r="K47" s="20" t="str">
        <f aca="false">IF(C47="","",IF(AND(G47&lt;&gt;"",I47="Yes"),"Closed",IF(G47&lt;&gt;"","Awaiting verification",IF(F47="","No due date",IF(F47&lt;Dashboard!$C$5,"Overdue",IF(F47-Dashboard!$C$5&lt;=Lists!$Q$2,"Due soon","Open"))))))</f>
        <v/>
      </c>
      <c r="L47" s="27" t="str">
        <f aca="false">IF(K47="Overdue",Dashboard!$C$5-F47,"")</f>
        <v/>
      </c>
      <c r="M47" s="11"/>
    </row>
    <row r="48" customFormat="false" ht="15" hidden="false" customHeight="false" outlineLevel="0" collapsed="false">
      <c r="A48" s="20" t="str">
        <f aca="false">IF(C48="","","CA-"&amp;TEXT(ROW()-4,"000"))</f>
        <v/>
      </c>
      <c r="B48" s="11"/>
      <c r="C48" s="11"/>
      <c r="D48" s="11"/>
      <c r="E48" s="11"/>
      <c r="F48" s="12"/>
      <c r="G48" s="12"/>
      <c r="H48" s="11"/>
      <c r="I48" s="28"/>
      <c r="J48" s="11"/>
      <c r="K48" s="20" t="str">
        <f aca="false">IF(C48="","",IF(AND(G48&lt;&gt;"",I48="Yes"),"Closed",IF(G48&lt;&gt;"","Awaiting verification",IF(F48="","No due date",IF(F48&lt;Dashboard!$C$5,"Overdue",IF(F48-Dashboard!$C$5&lt;=Lists!$Q$2,"Due soon","Open"))))))</f>
        <v/>
      </c>
      <c r="L48" s="27" t="str">
        <f aca="false">IF(K48="Overdue",Dashboard!$C$5-F48,"")</f>
        <v/>
      </c>
      <c r="M48" s="11"/>
    </row>
    <row r="49" customFormat="false" ht="15" hidden="false" customHeight="false" outlineLevel="0" collapsed="false">
      <c r="A49" s="20" t="str">
        <f aca="false">IF(C49="","","CA-"&amp;TEXT(ROW()-4,"000"))</f>
        <v/>
      </c>
      <c r="B49" s="11"/>
      <c r="C49" s="11"/>
      <c r="D49" s="11"/>
      <c r="E49" s="11"/>
      <c r="F49" s="12"/>
      <c r="G49" s="12"/>
      <c r="H49" s="11"/>
      <c r="I49" s="28"/>
      <c r="J49" s="11"/>
      <c r="K49" s="20" t="str">
        <f aca="false">IF(C49="","",IF(AND(G49&lt;&gt;"",I49="Yes"),"Closed",IF(G49&lt;&gt;"","Awaiting verification",IF(F49="","No due date",IF(F49&lt;Dashboard!$C$5,"Overdue",IF(F49-Dashboard!$C$5&lt;=Lists!$Q$2,"Due soon","Open"))))))</f>
        <v/>
      </c>
      <c r="L49" s="27" t="str">
        <f aca="false">IF(K49="Overdue",Dashboard!$C$5-F49,"")</f>
        <v/>
      </c>
      <c r="M49" s="11"/>
    </row>
    <row r="50" customFormat="false" ht="15" hidden="false" customHeight="false" outlineLevel="0" collapsed="false">
      <c r="A50" s="20" t="str">
        <f aca="false">IF(C50="","","CA-"&amp;TEXT(ROW()-4,"000"))</f>
        <v/>
      </c>
      <c r="B50" s="11"/>
      <c r="C50" s="11"/>
      <c r="D50" s="11"/>
      <c r="E50" s="11"/>
      <c r="F50" s="12"/>
      <c r="G50" s="12"/>
      <c r="H50" s="11"/>
      <c r="I50" s="28"/>
      <c r="J50" s="11"/>
      <c r="K50" s="20" t="str">
        <f aca="false">IF(C50="","",IF(AND(G50&lt;&gt;"",I50="Yes"),"Closed",IF(G50&lt;&gt;"","Awaiting verification",IF(F50="","No due date",IF(F50&lt;Dashboard!$C$5,"Overdue",IF(F50-Dashboard!$C$5&lt;=Lists!$Q$2,"Due soon","Open"))))))</f>
        <v/>
      </c>
      <c r="L50" s="27" t="str">
        <f aca="false">IF(K50="Overdue",Dashboard!$C$5-F50,"")</f>
        <v/>
      </c>
      <c r="M50" s="11"/>
    </row>
    <row r="51" customFormat="false" ht="15" hidden="false" customHeight="false" outlineLevel="0" collapsed="false">
      <c r="A51" s="20" t="str">
        <f aca="false">IF(C51="","","CA-"&amp;TEXT(ROW()-4,"000"))</f>
        <v/>
      </c>
      <c r="B51" s="11"/>
      <c r="C51" s="11"/>
      <c r="D51" s="11"/>
      <c r="E51" s="11"/>
      <c r="F51" s="12"/>
      <c r="G51" s="12"/>
      <c r="H51" s="11"/>
      <c r="I51" s="28"/>
      <c r="J51" s="11"/>
      <c r="K51" s="20" t="str">
        <f aca="false">IF(C51="","",IF(AND(G51&lt;&gt;"",I51="Yes"),"Closed",IF(G51&lt;&gt;"","Awaiting verification",IF(F51="","No due date",IF(F51&lt;Dashboard!$C$5,"Overdue",IF(F51-Dashboard!$C$5&lt;=Lists!$Q$2,"Due soon","Open"))))))</f>
        <v/>
      </c>
      <c r="L51" s="27" t="str">
        <f aca="false">IF(K51="Overdue",Dashboard!$C$5-F51,"")</f>
        <v/>
      </c>
      <c r="M51" s="11"/>
    </row>
    <row r="52" customFormat="false" ht="15" hidden="false" customHeight="false" outlineLevel="0" collapsed="false">
      <c r="A52" s="20" t="str">
        <f aca="false">IF(C52="","","CA-"&amp;TEXT(ROW()-4,"000"))</f>
        <v/>
      </c>
      <c r="B52" s="11"/>
      <c r="C52" s="11"/>
      <c r="D52" s="11"/>
      <c r="E52" s="11"/>
      <c r="F52" s="12"/>
      <c r="G52" s="12"/>
      <c r="H52" s="11"/>
      <c r="I52" s="28"/>
      <c r="J52" s="11"/>
      <c r="K52" s="20" t="str">
        <f aca="false">IF(C52="","",IF(AND(G52&lt;&gt;"",I52="Yes"),"Closed",IF(G52&lt;&gt;"","Awaiting verification",IF(F52="","No due date",IF(F52&lt;Dashboard!$C$5,"Overdue",IF(F52-Dashboard!$C$5&lt;=Lists!$Q$2,"Due soon","Open"))))))</f>
        <v/>
      </c>
      <c r="L52" s="27" t="str">
        <f aca="false">IF(K52="Overdue",Dashboard!$C$5-F52,"")</f>
        <v/>
      </c>
      <c r="M52" s="11"/>
    </row>
    <row r="53" customFormat="false" ht="15" hidden="false" customHeight="false" outlineLevel="0" collapsed="false">
      <c r="A53" s="20" t="str">
        <f aca="false">IF(C53="","","CA-"&amp;TEXT(ROW()-4,"000"))</f>
        <v/>
      </c>
      <c r="B53" s="11"/>
      <c r="C53" s="11"/>
      <c r="D53" s="11"/>
      <c r="E53" s="11"/>
      <c r="F53" s="12"/>
      <c r="G53" s="12"/>
      <c r="H53" s="11"/>
      <c r="I53" s="28"/>
      <c r="J53" s="11"/>
      <c r="K53" s="20" t="str">
        <f aca="false">IF(C53="","",IF(AND(G53&lt;&gt;"",I53="Yes"),"Closed",IF(G53&lt;&gt;"","Awaiting verification",IF(F53="","No due date",IF(F53&lt;Dashboard!$C$5,"Overdue",IF(F53-Dashboard!$C$5&lt;=Lists!$Q$2,"Due soon","Open"))))))</f>
        <v/>
      </c>
      <c r="L53" s="27" t="str">
        <f aca="false">IF(K53="Overdue",Dashboard!$C$5-F53,"")</f>
        <v/>
      </c>
      <c r="M53" s="11"/>
    </row>
    <row r="54" customFormat="false" ht="15" hidden="false" customHeight="false" outlineLevel="0" collapsed="false">
      <c r="A54" s="20" t="str">
        <f aca="false">IF(C54="","","CA-"&amp;TEXT(ROW()-4,"000"))</f>
        <v/>
      </c>
      <c r="B54" s="11"/>
      <c r="C54" s="11"/>
      <c r="D54" s="11"/>
      <c r="E54" s="11"/>
      <c r="F54" s="12"/>
      <c r="G54" s="12"/>
      <c r="H54" s="11"/>
      <c r="I54" s="28"/>
      <c r="J54" s="11"/>
      <c r="K54" s="20" t="str">
        <f aca="false">IF(C54="","",IF(AND(G54&lt;&gt;"",I54="Yes"),"Closed",IF(G54&lt;&gt;"","Awaiting verification",IF(F54="","No due date",IF(F54&lt;Dashboard!$C$5,"Overdue",IF(F54-Dashboard!$C$5&lt;=Lists!$Q$2,"Due soon","Open"))))))</f>
        <v/>
      </c>
      <c r="L54" s="27" t="str">
        <f aca="false">IF(K54="Overdue",Dashboard!$C$5-F54,"")</f>
        <v/>
      </c>
      <c r="M54" s="11"/>
    </row>
    <row r="55" customFormat="false" ht="15" hidden="false" customHeight="false" outlineLevel="0" collapsed="false">
      <c r="A55" s="20" t="str">
        <f aca="false">IF(C55="","","CA-"&amp;TEXT(ROW()-4,"000"))</f>
        <v/>
      </c>
      <c r="B55" s="11"/>
      <c r="C55" s="11"/>
      <c r="D55" s="11"/>
      <c r="E55" s="11"/>
      <c r="F55" s="12"/>
      <c r="G55" s="12"/>
      <c r="H55" s="11"/>
      <c r="I55" s="28"/>
      <c r="J55" s="11"/>
      <c r="K55" s="20" t="str">
        <f aca="false">IF(C55="","",IF(AND(G55&lt;&gt;"",I55="Yes"),"Closed",IF(G55&lt;&gt;"","Awaiting verification",IF(F55="","No due date",IF(F55&lt;Dashboard!$C$5,"Overdue",IF(F55-Dashboard!$C$5&lt;=Lists!$Q$2,"Due soon","Open"))))))</f>
        <v/>
      </c>
      <c r="L55" s="27" t="str">
        <f aca="false">IF(K55="Overdue",Dashboard!$C$5-F55,"")</f>
        <v/>
      </c>
      <c r="M55" s="11"/>
    </row>
    <row r="56" customFormat="false" ht="15" hidden="false" customHeight="false" outlineLevel="0" collapsed="false">
      <c r="A56" s="20" t="str">
        <f aca="false">IF(C56="","","CA-"&amp;TEXT(ROW()-4,"000"))</f>
        <v/>
      </c>
      <c r="B56" s="11"/>
      <c r="C56" s="11"/>
      <c r="D56" s="11"/>
      <c r="E56" s="11"/>
      <c r="F56" s="12"/>
      <c r="G56" s="12"/>
      <c r="H56" s="11"/>
      <c r="I56" s="28"/>
      <c r="J56" s="11"/>
      <c r="K56" s="20" t="str">
        <f aca="false">IF(C56="","",IF(AND(G56&lt;&gt;"",I56="Yes"),"Closed",IF(G56&lt;&gt;"","Awaiting verification",IF(F56="","No due date",IF(F56&lt;Dashboard!$C$5,"Overdue",IF(F56-Dashboard!$C$5&lt;=Lists!$Q$2,"Due soon","Open"))))))</f>
        <v/>
      </c>
      <c r="L56" s="27" t="str">
        <f aca="false">IF(K56="Overdue",Dashboard!$C$5-F56,"")</f>
        <v/>
      </c>
      <c r="M56" s="11"/>
    </row>
    <row r="57" customFormat="false" ht="15" hidden="false" customHeight="false" outlineLevel="0" collapsed="false">
      <c r="A57" s="20" t="str">
        <f aca="false">IF(C57="","","CA-"&amp;TEXT(ROW()-4,"000"))</f>
        <v/>
      </c>
      <c r="B57" s="11"/>
      <c r="C57" s="11"/>
      <c r="D57" s="11"/>
      <c r="E57" s="11"/>
      <c r="F57" s="12"/>
      <c r="G57" s="12"/>
      <c r="H57" s="11"/>
      <c r="I57" s="28"/>
      <c r="J57" s="11"/>
      <c r="K57" s="20" t="str">
        <f aca="false">IF(C57="","",IF(AND(G57&lt;&gt;"",I57="Yes"),"Closed",IF(G57&lt;&gt;"","Awaiting verification",IF(F57="","No due date",IF(F57&lt;Dashboard!$C$5,"Overdue",IF(F57-Dashboard!$C$5&lt;=Lists!$Q$2,"Due soon","Open"))))))</f>
        <v/>
      </c>
      <c r="L57" s="27" t="str">
        <f aca="false">IF(K57="Overdue",Dashboard!$C$5-F57,"")</f>
        <v/>
      </c>
      <c r="M57" s="11"/>
    </row>
    <row r="58" customFormat="false" ht="15" hidden="false" customHeight="false" outlineLevel="0" collapsed="false">
      <c r="A58" s="20" t="str">
        <f aca="false">IF(C58="","","CA-"&amp;TEXT(ROW()-4,"000"))</f>
        <v/>
      </c>
      <c r="B58" s="11"/>
      <c r="C58" s="11"/>
      <c r="D58" s="11"/>
      <c r="E58" s="11"/>
      <c r="F58" s="12"/>
      <c r="G58" s="12"/>
      <c r="H58" s="11"/>
      <c r="I58" s="28"/>
      <c r="J58" s="11"/>
      <c r="K58" s="20" t="str">
        <f aca="false">IF(C58="","",IF(AND(G58&lt;&gt;"",I58="Yes"),"Closed",IF(G58&lt;&gt;"","Awaiting verification",IF(F58="","No due date",IF(F58&lt;Dashboard!$C$5,"Overdue",IF(F58-Dashboard!$C$5&lt;=Lists!$Q$2,"Due soon","Open"))))))</f>
        <v/>
      </c>
      <c r="L58" s="27" t="str">
        <f aca="false">IF(K58="Overdue",Dashboard!$C$5-F58,"")</f>
        <v/>
      </c>
      <c r="M58" s="11"/>
    </row>
    <row r="59" customFormat="false" ht="15" hidden="false" customHeight="false" outlineLevel="0" collapsed="false">
      <c r="A59" s="20" t="str">
        <f aca="false">IF(C59="","","CA-"&amp;TEXT(ROW()-4,"000"))</f>
        <v/>
      </c>
      <c r="B59" s="11"/>
      <c r="C59" s="11"/>
      <c r="D59" s="11"/>
      <c r="E59" s="11"/>
      <c r="F59" s="12"/>
      <c r="G59" s="12"/>
      <c r="H59" s="11"/>
      <c r="I59" s="28"/>
      <c r="J59" s="11"/>
      <c r="K59" s="20" t="str">
        <f aca="false">IF(C59="","",IF(AND(G59&lt;&gt;"",I59="Yes"),"Closed",IF(G59&lt;&gt;"","Awaiting verification",IF(F59="","No due date",IF(F59&lt;Dashboard!$C$5,"Overdue",IF(F59-Dashboard!$C$5&lt;=Lists!$Q$2,"Due soon","Open"))))))</f>
        <v/>
      </c>
      <c r="L59" s="27" t="str">
        <f aca="false">IF(K59="Overdue",Dashboard!$C$5-F59,"")</f>
        <v/>
      </c>
      <c r="M59" s="11"/>
    </row>
    <row r="60" customFormat="false" ht="15" hidden="false" customHeight="false" outlineLevel="0" collapsed="false">
      <c r="A60" s="20" t="str">
        <f aca="false">IF(C60="","","CA-"&amp;TEXT(ROW()-4,"000"))</f>
        <v/>
      </c>
      <c r="B60" s="11"/>
      <c r="C60" s="11"/>
      <c r="D60" s="11"/>
      <c r="E60" s="11"/>
      <c r="F60" s="12"/>
      <c r="G60" s="12"/>
      <c r="H60" s="11"/>
      <c r="I60" s="28"/>
      <c r="J60" s="11"/>
      <c r="K60" s="20" t="str">
        <f aca="false">IF(C60="","",IF(AND(G60&lt;&gt;"",I60="Yes"),"Closed",IF(G60&lt;&gt;"","Awaiting verification",IF(F60="","No due date",IF(F60&lt;Dashboard!$C$5,"Overdue",IF(F60-Dashboard!$C$5&lt;=Lists!$Q$2,"Due soon","Open"))))))</f>
        <v/>
      </c>
      <c r="L60" s="27" t="str">
        <f aca="false">IF(K60="Overdue",Dashboard!$C$5-F60,"")</f>
        <v/>
      </c>
      <c r="M60" s="11"/>
    </row>
    <row r="61" customFormat="false" ht="15" hidden="false" customHeight="false" outlineLevel="0" collapsed="false">
      <c r="A61" s="20" t="str">
        <f aca="false">IF(C61="","","CA-"&amp;TEXT(ROW()-4,"000"))</f>
        <v/>
      </c>
      <c r="B61" s="11"/>
      <c r="C61" s="11"/>
      <c r="D61" s="11"/>
      <c r="E61" s="11"/>
      <c r="F61" s="12"/>
      <c r="G61" s="12"/>
      <c r="H61" s="11"/>
      <c r="I61" s="28"/>
      <c r="J61" s="11"/>
      <c r="K61" s="20" t="str">
        <f aca="false">IF(C61="","",IF(AND(G61&lt;&gt;"",I61="Yes"),"Closed",IF(G61&lt;&gt;"","Awaiting verification",IF(F61="","No due date",IF(F61&lt;Dashboard!$C$5,"Overdue",IF(F61-Dashboard!$C$5&lt;=Lists!$Q$2,"Due soon","Open"))))))</f>
        <v/>
      </c>
      <c r="L61" s="27" t="str">
        <f aca="false">IF(K61="Overdue",Dashboard!$C$5-F61,"")</f>
        <v/>
      </c>
      <c r="M61" s="11"/>
    </row>
    <row r="62" customFormat="false" ht="15" hidden="false" customHeight="false" outlineLevel="0" collapsed="false">
      <c r="A62" s="20" t="str">
        <f aca="false">IF(C62="","","CA-"&amp;TEXT(ROW()-4,"000"))</f>
        <v/>
      </c>
      <c r="B62" s="11"/>
      <c r="C62" s="11"/>
      <c r="D62" s="11"/>
      <c r="E62" s="11"/>
      <c r="F62" s="12"/>
      <c r="G62" s="12"/>
      <c r="H62" s="11"/>
      <c r="I62" s="28"/>
      <c r="J62" s="11"/>
      <c r="K62" s="20" t="str">
        <f aca="false">IF(C62="","",IF(AND(G62&lt;&gt;"",I62="Yes"),"Closed",IF(G62&lt;&gt;"","Awaiting verification",IF(F62="","No due date",IF(F62&lt;Dashboard!$C$5,"Overdue",IF(F62-Dashboard!$C$5&lt;=Lists!$Q$2,"Due soon","Open"))))))</f>
        <v/>
      </c>
      <c r="L62" s="27" t="str">
        <f aca="false">IF(K62="Overdue",Dashboard!$C$5-F62,"")</f>
        <v/>
      </c>
      <c r="M62" s="11"/>
    </row>
    <row r="63" customFormat="false" ht="15" hidden="false" customHeight="false" outlineLevel="0" collapsed="false">
      <c r="A63" s="20" t="str">
        <f aca="false">IF(C63="","","CA-"&amp;TEXT(ROW()-4,"000"))</f>
        <v/>
      </c>
      <c r="B63" s="11"/>
      <c r="C63" s="11"/>
      <c r="D63" s="11"/>
      <c r="E63" s="11"/>
      <c r="F63" s="12"/>
      <c r="G63" s="12"/>
      <c r="H63" s="11"/>
      <c r="I63" s="28"/>
      <c r="J63" s="11"/>
      <c r="K63" s="20" t="str">
        <f aca="false">IF(C63="","",IF(AND(G63&lt;&gt;"",I63="Yes"),"Closed",IF(G63&lt;&gt;"","Awaiting verification",IF(F63="","No due date",IF(F63&lt;Dashboard!$C$5,"Overdue",IF(F63-Dashboard!$C$5&lt;=Lists!$Q$2,"Due soon","Open"))))))</f>
        <v/>
      </c>
      <c r="L63" s="27" t="str">
        <f aca="false">IF(K63="Overdue",Dashboard!$C$5-F63,"")</f>
        <v/>
      </c>
      <c r="M63" s="11"/>
    </row>
    <row r="64" customFormat="false" ht="15" hidden="false" customHeight="false" outlineLevel="0" collapsed="false">
      <c r="A64" s="20" t="str">
        <f aca="false">IF(C64="","","CA-"&amp;TEXT(ROW()-4,"000"))</f>
        <v/>
      </c>
      <c r="B64" s="11"/>
      <c r="C64" s="11"/>
      <c r="D64" s="11"/>
      <c r="E64" s="11"/>
      <c r="F64" s="12"/>
      <c r="G64" s="12"/>
      <c r="H64" s="11"/>
      <c r="I64" s="28"/>
      <c r="J64" s="11"/>
      <c r="K64" s="20" t="str">
        <f aca="false">IF(C64="","",IF(AND(G64&lt;&gt;"",I64="Yes"),"Closed",IF(G64&lt;&gt;"","Awaiting verification",IF(F64="","No due date",IF(F64&lt;Dashboard!$C$5,"Overdue",IF(F64-Dashboard!$C$5&lt;=Lists!$Q$2,"Due soon","Open"))))))</f>
        <v/>
      </c>
      <c r="L64" s="27" t="str">
        <f aca="false">IF(K64="Overdue",Dashboard!$C$5-F64,"")</f>
        <v/>
      </c>
      <c r="M64" s="11"/>
    </row>
  </sheetData>
  <conditionalFormatting sqref="K5:K64">
    <cfRule type="cellIs" priority="2" operator="equal" aboveAverage="0" equalAverage="0" bottom="0" percent="0" rank="0" text="" dxfId="0">
      <formula>"Closed"</formula>
    </cfRule>
    <cfRule type="cellIs" priority="3" operator="equal" aboveAverage="0" equalAverage="0" bottom="0" percent="0" rank="0" text="" dxfId="1">
      <formula>"Open"</formula>
    </cfRule>
    <cfRule type="cellIs" priority="4" operator="equal" aboveAverage="0" equalAverage="0" bottom="0" percent="0" rank="0" text="" dxfId="1">
      <formula>"Due soon"</formula>
    </cfRule>
    <cfRule type="cellIs" priority="5" operator="equal" aboveAverage="0" equalAverage="0" bottom="0" percent="0" rank="0" text="" dxfId="1">
      <formula>"Awaiting verification"</formula>
    </cfRule>
    <cfRule type="cellIs" priority="6" operator="equal" aboveAverage="0" equalAverage="0" bottom="0" percent="0" rank="0" text="" dxfId="1">
      <formula>"No due date"</formula>
    </cfRule>
    <cfRule type="cellIs" priority="7" operator="equal" aboveAverage="0" equalAverage="0" bottom="0" percent="0" rank="0" text="" dxfId="2">
      <formula>"Overdue"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E5:E64" type="list">
      <formula1>Lists!$L$2:$L$8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I5:I6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1"/>
  </cols>
  <sheetData>
    <row r="1" customFormat="false" ht="19.7" hidden="false" customHeight="false" outlineLevel="0" collapsed="false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1.5" hidden="false" customHeight="true" outlineLevel="0" collapsed="false">
      <c r="A4" s="14" t="s">
        <v>237</v>
      </c>
      <c r="B4" s="14" t="s">
        <v>238</v>
      </c>
      <c r="C4" s="14" t="s">
        <v>165</v>
      </c>
      <c r="D4" s="14" t="s">
        <v>239</v>
      </c>
      <c r="E4" s="14" t="s">
        <v>240</v>
      </c>
      <c r="F4" s="14" t="s">
        <v>241</v>
      </c>
      <c r="G4" s="14" t="s">
        <v>242</v>
      </c>
      <c r="H4" s="14" t="s">
        <v>243</v>
      </c>
      <c r="I4" s="14" t="s">
        <v>244</v>
      </c>
      <c r="J4" s="14" t="s">
        <v>245</v>
      </c>
      <c r="K4" s="14" t="s">
        <v>246</v>
      </c>
      <c r="L4" s="14" t="s">
        <v>247</v>
      </c>
      <c r="M4" s="14" t="s">
        <v>248</v>
      </c>
      <c r="N4" s="14" t="s">
        <v>249</v>
      </c>
      <c r="O4" s="14" t="s">
        <v>50</v>
      </c>
    </row>
    <row r="5" customFormat="false" ht="26.85" hidden="false" customHeight="false" outlineLevel="0" collapsed="false">
      <c r="A5" s="11" t="s">
        <v>250</v>
      </c>
      <c r="B5" s="12" t="n">
        <v>46283</v>
      </c>
      <c r="C5" s="11" t="s">
        <v>251</v>
      </c>
      <c r="D5" s="11" t="s">
        <v>252</v>
      </c>
      <c r="E5" s="11" t="s">
        <v>253</v>
      </c>
      <c r="F5" s="28" t="s">
        <v>113</v>
      </c>
      <c r="G5" s="28" t="s">
        <v>113</v>
      </c>
      <c r="H5" s="28" t="s">
        <v>113</v>
      </c>
      <c r="I5" s="28" t="s">
        <v>113</v>
      </c>
      <c r="J5" s="28" t="s">
        <v>113</v>
      </c>
      <c r="K5" s="12" t="n">
        <v>46289</v>
      </c>
      <c r="L5" s="11" t="s">
        <v>129</v>
      </c>
      <c r="M5" s="28" t="s">
        <v>113</v>
      </c>
      <c r="N5" s="20" t="str">
        <f aca="false">IF(C5="","",IF(AND(F5="Yes",OR(G5="Yes",G5="N/A"),H5="Yes",I5="Yes",J5="Yes",OR(K5="",AND(L5&lt;&gt;"",M5="Yes"))),"Compliant","Non-compliant"))</f>
        <v>Compliant</v>
      </c>
      <c r="O5" s="20" t="str">
        <f aca="false">IF(C5="","",IF(K5="","Active","Closed"))</f>
        <v>Closed</v>
      </c>
    </row>
    <row r="6" customFormat="false" ht="26.85" hidden="false" customHeight="false" outlineLevel="0" collapsed="false">
      <c r="A6" s="11" t="s">
        <v>254</v>
      </c>
      <c r="B6" s="12" t="n">
        <v>46298</v>
      </c>
      <c r="C6" s="11" t="s">
        <v>255</v>
      </c>
      <c r="D6" s="11" t="s">
        <v>256</v>
      </c>
      <c r="E6" s="11" t="s">
        <v>257</v>
      </c>
      <c r="F6" s="28" t="s">
        <v>113</v>
      </c>
      <c r="G6" s="28" t="s">
        <v>191</v>
      </c>
      <c r="H6" s="28" t="s">
        <v>106</v>
      </c>
      <c r="I6" s="28" t="s">
        <v>113</v>
      </c>
      <c r="J6" s="28" t="s">
        <v>113</v>
      </c>
      <c r="K6" s="12"/>
      <c r="L6" s="11"/>
      <c r="M6" s="28"/>
      <c r="N6" s="20" t="str">
        <f aca="false">IF(C6="","",IF(AND(F6="Yes",OR(G6="Yes",G6="N/A"),H6="Yes",I6="Yes",J6="Yes",OR(K6="",AND(L6&lt;&gt;"",M6="Yes"))),"Compliant","Non-compliant"))</f>
        <v>Non-compliant</v>
      </c>
      <c r="O6" s="20" t="str">
        <f aca="false">IF(C6="","",IF(K6="","Active","Closed"))</f>
        <v>Active</v>
      </c>
    </row>
    <row r="7" customFormat="false" ht="15" hidden="false" customHeight="false" outlineLevel="0" collapsed="false">
      <c r="A7" s="11"/>
      <c r="B7" s="12"/>
      <c r="C7" s="11"/>
      <c r="D7" s="11"/>
      <c r="E7" s="11"/>
      <c r="F7" s="28"/>
      <c r="G7" s="28"/>
      <c r="H7" s="28"/>
      <c r="I7" s="28"/>
      <c r="J7" s="28"/>
      <c r="K7" s="12"/>
      <c r="L7" s="11"/>
      <c r="M7" s="28"/>
      <c r="N7" s="20" t="str">
        <f aca="false">IF(C7="","",IF(AND(F7="Yes",OR(G7="Yes",G7="N/A"),H7="Yes",I7="Yes",J7="Yes",OR(K7="",AND(L7&lt;&gt;"",M7="Yes"))),"Compliant","Non-compliant"))</f>
        <v/>
      </c>
      <c r="O7" s="20" t="str">
        <f aca="false">IF(C7="","",IF(K7="","Active","Closed"))</f>
        <v/>
      </c>
    </row>
    <row r="8" customFormat="false" ht="15" hidden="false" customHeight="false" outlineLevel="0" collapsed="false">
      <c r="A8" s="11"/>
      <c r="B8" s="12"/>
      <c r="C8" s="11"/>
      <c r="D8" s="11"/>
      <c r="E8" s="11"/>
      <c r="F8" s="28"/>
      <c r="G8" s="28"/>
      <c r="H8" s="28"/>
      <c r="I8" s="28"/>
      <c r="J8" s="28"/>
      <c r="K8" s="12"/>
      <c r="L8" s="11"/>
      <c r="M8" s="28"/>
      <c r="N8" s="20" t="str">
        <f aca="false">IF(C8="","",IF(AND(F8="Yes",OR(G8="Yes",G8="N/A"),H8="Yes",I8="Yes",J8="Yes",OR(K8="",AND(L8&lt;&gt;"",M8="Yes"))),"Compliant","Non-compliant"))</f>
        <v/>
      </c>
      <c r="O8" s="20" t="str">
        <f aca="false">IF(C8="","",IF(K8="","Active","Closed"))</f>
        <v/>
      </c>
    </row>
    <row r="9" customFormat="false" ht="15" hidden="false" customHeight="false" outlineLevel="0" collapsed="false">
      <c r="A9" s="11"/>
      <c r="B9" s="12"/>
      <c r="C9" s="11"/>
      <c r="D9" s="11"/>
      <c r="E9" s="11"/>
      <c r="F9" s="28"/>
      <c r="G9" s="28"/>
      <c r="H9" s="28"/>
      <c r="I9" s="28"/>
      <c r="J9" s="28"/>
      <c r="K9" s="12"/>
      <c r="L9" s="11"/>
      <c r="M9" s="28"/>
      <c r="N9" s="20" t="str">
        <f aca="false">IF(C9="","",IF(AND(F9="Yes",OR(G9="Yes",G9="N/A"),H9="Yes",I9="Yes",J9="Yes",OR(K9="",AND(L9&lt;&gt;"",M9="Yes"))),"Compliant","Non-compliant"))</f>
        <v/>
      </c>
      <c r="O9" s="20" t="str">
        <f aca="false">IF(C9="","",IF(K9="","Active","Closed"))</f>
        <v/>
      </c>
    </row>
    <row r="10" customFormat="false" ht="15" hidden="false" customHeight="false" outlineLevel="0" collapsed="false">
      <c r="A10" s="11"/>
      <c r="B10" s="12"/>
      <c r="C10" s="11"/>
      <c r="D10" s="11"/>
      <c r="E10" s="11"/>
      <c r="F10" s="28"/>
      <c r="G10" s="28"/>
      <c r="H10" s="28"/>
      <c r="I10" s="28"/>
      <c r="J10" s="28"/>
      <c r="K10" s="12"/>
      <c r="L10" s="11"/>
      <c r="M10" s="28"/>
      <c r="N10" s="20" t="str">
        <f aca="false">IF(C10="","",IF(AND(F10="Yes",OR(G10="Yes",G10="N/A"),H10="Yes",I10="Yes",J10="Yes",OR(K10="",AND(L10&lt;&gt;"",M10="Yes"))),"Compliant","Non-compliant"))</f>
        <v/>
      </c>
      <c r="O10" s="20" t="str">
        <f aca="false">IF(C10="","",IF(K10="","Active","Closed"))</f>
        <v/>
      </c>
    </row>
    <row r="11" customFormat="false" ht="15" hidden="false" customHeight="false" outlineLevel="0" collapsed="false">
      <c r="A11" s="11"/>
      <c r="B11" s="12"/>
      <c r="C11" s="11"/>
      <c r="D11" s="11"/>
      <c r="E11" s="11"/>
      <c r="F11" s="28"/>
      <c r="G11" s="28"/>
      <c r="H11" s="28"/>
      <c r="I11" s="28"/>
      <c r="J11" s="28"/>
      <c r="K11" s="12"/>
      <c r="L11" s="11"/>
      <c r="M11" s="28"/>
      <c r="N11" s="20" t="str">
        <f aca="false">IF(C11="","",IF(AND(F11="Yes",OR(G11="Yes",G11="N/A"),H11="Yes",I11="Yes",J11="Yes",OR(K11="",AND(L11&lt;&gt;"",M11="Yes"))),"Compliant","Non-compliant"))</f>
        <v/>
      </c>
      <c r="O11" s="20" t="str">
        <f aca="false">IF(C11="","",IF(K11="","Active","Closed"))</f>
        <v/>
      </c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28"/>
      <c r="G12" s="28"/>
      <c r="H12" s="28"/>
      <c r="I12" s="28"/>
      <c r="J12" s="28"/>
      <c r="K12" s="12"/>
      <c r="L12" s="11"/>
      <c r="M12" s="28"/>
      <c r="N12" s="20" t="str">
        <f aca="false">IF(C12="","",IF(AND(F12="Yes",OR(G12="Yes",G12="N/A"),H12="Yes",I12="Yes",J12="Yes",OR(K12="",AND(L12&lt;&gt;"",M12="Yes"))),"Compliant","Non-compliant"))</f>
        <v/>
      </c>
      <c r="O12" s="20" t="str">
        <f aca="false">IF(C12="","",IF(K12="","Active","Closed"))</f>
        <v/>
      </c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28"/>
      <c r="G13" s="28"/>
      <c r="H13" s="28"/>
      <c r="I13" s="28"/>
      <c r="J13" s="28"/>
      <c r="K13" s="12"/>
      <c r="L13" s="11"/>
      <c r="M13" s="28"/>
      <c r="N13" s="20" t="str">
        <f aca="false">IF(C13="","",IF(AND(F13="Yes",OR(G13="Yes",G13="N/A"),H13="Yes",I13="Yes",J13="Yes",OR(K13="",AND(L13&lt;&gt;"",M13="Yes"))),"Compliant","Non-compliant"))</f>
        <v/>
      </c>
      <c r="O13" s="20" t="str">
        <f aca="false">IF(C13="","",IF(K13="","Active","Closed"))</f>
        <v/>
      </c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28"/>
      <c r="G14" s="28"/>
      <c r="H14" s="28"/>
      <c r="I14" s="28"/>
      <c r="J14" s="28"/>
      <c r="K14" s="12"/>
      <c r="L14" s="11"/>
      <c r="M14" s="28"/>
      <c r="N14" s="20" t="str">
        <f aca="false">IF(C14="","",IF(AND(F14="Yes",OR(G14="Yes",G14="N/A"),H14="Yes",I14="Yes",J14="Yes",OR(K14="",AND(L14&lt;&gt;"",M14="Yes"))),"Compliant","Non-compliant"))</f>
        <v/>
      </c>
      <c r="O14" s="20" t="str">
        <f aca="false">IF(C14="","",IF(K14="","Active","Closed"))</f>
        <v/>
      </c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28"/>
      <c r="G15" s="28"/>
      <c r="H15" s="28"/>
      <c r="I15" s="28"/>
      <c r="J15" s="28"/>
      <c r="K15" s="12"/>
      <c r="L15" s="11"/>
      <c r="M15" s="28"/>
      <c r="N15" s="20" t="str">
        <f aca="false">IF(C15="","",IF(AND(F15="Yes",OR(G15="Yes",G15="N/A"),H15="Yes",I15="Yes",J15="Yes",OR(K15="",AND(L15&lt;&gt;"",M15="Yes"))),"Compliant","Non-compliant"))</f>
        <v/>
      </c>
      <c r="O15" s="20" t="str">
        <f aca="false">IF(C15="","",IF(K15="","Active","Closed"))</f>
        <v/>
      </c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28"/>
      <c r="G16" s="28"/>
      <c r="H16" s="28"/>
      <c r="I16" s="28"/>
      <c r="J16" s="28"/>
      <c r="K16" s="12"/>
      <c r="L16" s="11"/>
      <c r="M16" s="28"/>
      <c r="N16" s="20" t="str">
        <f aca="false">IF(C16="","",IF(AND(F16="Yes",OR(G16="Yes",G16="N/A"),H16="Yes",I16="Yes",J16="Yes",OR(K16="",AND(L16&lt;&gt;"",M16="Yes"))),"Compliant","Non-compliant"))</f>
        <v/>
      </c>
      <c r="O16" s="20" t="str">
        <f aca="false">IF(C16="","",IF(K16="","Active","Closed"))</f>
        <v/>
      </c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28"/>
      <c r="G17" s="28"/>
      <c r="H17" s="28"/>
      <c r="I17" s="28"/>
      <c r="J17" s="28"/>
      <c r="K17" s="12"/>
      <c r="L17" s="11"/>
      <c r="M17" s="28"/>
      <c r="N17" s="20" t="str">
        <f aca="false">IF(C17="","",IF(AND(F17="Yes",OR(G17="Yes",G17="N/A"),H17="Yes",I17="Yes",J17="Yes",OR(K17="",AND(L17&lt;&gt;"",M17="Yes"))),"Compliant","Non-compliant"))</f>
        <v/>
      </c>
      <c r="O17" s="20" t="str">
        <f aca="false">IF(C17="","",IF(K17="","Active","Closed"))</f>
        <v/>
      </c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28"/>
      <c r="G18" s="28"/>
      <c r="H18" s="28"/>
      <c r="I18" s="28"/>
      <c r="J18" s="28"/>
      <c r="K18" s="12"/>
      <c r="L18" s="11"/>
      <c r="M18" s="28"/>
      <c r="N18" s="20" t="str">
        <f aca="false">IF(C18="","",IF(AND(F18="Yes",OR(G18="Yes",G18="N/A"),H18="Yes",I18="Yes",J18="Yes",OR(K18="",AND(L18&lt;&gt;"",M18="Yes"))),"Compliant","Non-compliant"))</f>
        <v/>
      </c>
      <c r="O18" s="20" t="str">
        <f aca="false">IF(C18="","",IF(K18="","Active","Closed"))</f>
        <v/>
      </c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28"/>
      <c r="G19" s="28"/>
      <c r="H19" s="28"/>
      <c r="I19" s="28"/>
      <c r="J19" s="28"/>
      <c r="K19" s="12"/>
      <c r="L19" s="11"/>
      <c r="M19" s="28"/>
      <c r="N19" s="20" t="str">
        <f aca="false">IF(C19="","",IF(AND(F19="Yes",OR(G19="Yes",G19="N/A"),H19="Yes",I19="Yes",J19="Yes",OR(K19="",AND(L19&lt;&gt;"",M19="Yes"))),"Compliant","Non-compliant"))</f>
        <v/>
      </c>
      <c r="O19" s="20" t="str">
        <f aca="false">IF(C19="","",IF(K19="","Active","Closed"))</f>
        <v/>
      </c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28"/>
      <c r="G20" s="28"/>
      <c r="H20" s="28"/>
      <c r="I20" s="28"/>
      <c r="J20" s="28"/>
      <c r="K20" s="12"/>
      <c r="L20" s="11"/>
      <c r="M20" s="28"/>
      <c r="N20" s="20" t="str">
        <f aca="false">IF(C20="","",IF(AND(F20="Yes",OR(G20="Yes",G20="N/A"),H20="Yes",I20="Yes",J20="Yes",OR(K20="",AND(L20&lt;&gt;"",M20="Yes"))),"Compliant","Non-compliant"))</f>
        <v/>
      </c>
      <c r="O20" s="20" t="str">
        <f aca="false">IF(C20="","",IF(K20="","Active","Closed"))</f>
        <v/>
      </c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28"/>
      <c r="G21" s="28"/>
      <c r="H21" s="28"/>
      <c r="I21" s="28"/>
      <c r="J21" s="28"/>
      <c r="K21" s="12"/>
      <c r="L21" s="11"/>
      <c r="M21" s="28"/>
      <c r="N21" s="20" t="str">
        <f aca="false">IF(C21="","",IF(AND(F21="Yes",OR(G21="Yes",G21="N/A"),H21="Yes",I21="Yes",J21="Yes",OR(K21="",AND(L21&lt;&gt;"",M21="Yes"))),"Compliant","Non-compliant"))</f>
        <v/>
      </c>
      <c r="O21" s="20" t="str">
        <f aca="false">IF(C21="","",IF(K21="","Active","Closed"))</f>
        <v/>
      </c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28"/>
      <c r="G22" s="28"/>
      <c r="H22" s="28"/>
      <c r="I22" s="28"/>
      <c r="J22" s="28"/>
      <c r="K22" s="12"/>
      <c r="L22" s="11"/>
      <c r="M22" s="28"/>
      <c r="N22" s="20" t="str">
        <f aca="false">IF(C22="","",IF(AND(F22="Yes",OR(G22="Yes",G22="N/A"),H22="Yes",I22="Yes",J22="Yes",OR(K22="",AND(L22&lt;&gt;"",M22="Yes"))),"Compliant","Non-compliant"))</f>
        <v/>
      </c>
      <c r="O22" s="20" t="str">
        <f aca="false">IF(C22="","",IF(K22="","Active","Closed"))</f>
        <v/>
      </c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28"/>
      <c r="G23" s="28"/>
      <c r="H23" s="28"/>
      <c r="I23" s="28"/>
      <c r="J23" s="28"/>
      <c r="K23" s="12"/>
      <c r="L23" s="11"/>
      <c r="M23" s="28"/>
      <c r="N23" s="20" t="str">
        <f aca="false">IF(C23="","",IF(AND(F23="Yes",OR(G23="Yes",G23="N/A"),H23="Yes",I23="Yes",J23="Yes",OR(K23="",AND(L23&lt;&gt;"",M23="Yes"))),"Compliant","Non-compliant"))</f>
        <v/>
      </c>
      <c r="O23" s="20" t="str">
        <f aca="false">IF(C23="","",IF(K23="","Active","Closed"))</f>
        <v/>
      </c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28"/>
      <c r="G24" s="28"/>
      <c r="H24" s="28"/>
      <c r="I24" s="28"/>
      <c r="J24" s="28"/>
      <c r="K24" s="12"/>
      <c r="L24" s="11"/>
      <c r="M24" s="28"/>
      <c r="N24" s="20" t="str">
        <f aca="false">IF(C24="","",IF(AND(F24="Yes",OR(G24="Yes",G24="N/A"),H24="Yes",I24="Yes",J24="Yes",OR(K24="",AND(L24&lt;&gt;"",M24="Yes"))),"Compliant","Non-compliant"))</f>
        <v/>
      </c>
      <c r="O24" s="20" t="str">
        <f aca="false">IF(C24="","",IF(K24="","Active","Closed"))</f>
        <v/>
      </c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28"/>
      <c r="G25" s="28"/>
      <c r="H25" s="28"/>
      <c r="I25" s="28"/>
      <c r="J25" s="28"/>
      <c r="K25" s="12"/>
      <c r="L25" s="11"/>
      <c r="M25" s="28"/>
      <c r="N25" s="20" t="str">
        <f aca="false">IF(C25="","",IF(AND(F25="Yes",OR(G25="Yes",G25="N/A"),H25="Yes",I25="Yes",J25="Yes",OR(K25="",AND(L25&lt;&gt;"",M25="Yes"))),"Compliant","Non-compliant"))</f>
        <v/>
      </c>
      <c r="O25" s="20" t="str">
        <f aca="false">IF(C25="","",IF(K25="","Active","Closed"))</f>
        <v/>
      </c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28"/>
      <c r="G26" s="28"/>
      <c r="H26" s="28"/>
      <c r="I26" s="28"/>
      <c r="J26" s="28"/>
      <c r="K26" s="12"/>
      <c r="L26" s="11"/>
      <c r="M26" s="28"/>
      <c r="N26" s="20" t="str">
        <f aca="false">IF(C26="","",IF(AND(F26="Yes",OR(G26="Yes",G26="N/A"),H26="Yes",I26="Yes",J26="Yes",OR(K26="",AND(L26&lt;&gt;"",M26="Yes"))),"Compliant","Non-compliant"))</f>
        <v/>
      </c>
      <c r="O26" s="20" t="str">
        <f aca="false">IF(C26="","",IF(K26="","Active","Closed"))</f>
        <v/>
      </c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28"/>
      <c r="G27" s="28"/>
      <c r="H27" s="28"/>
      <c r="I27" s="28"/>
      <c r="J27" s="28"/>
      <c r="K27" s="12"/>
      <c r="L27" s="11"/>
      <c r="M27" s="28"/>
      <c r="N27" s="20" t="str">
        <f aca="false">IF(C27="","",IF(AND(F27="Yes",OR(G27="Yes",G27="N/A"),H27="Yes",I27="Yes",J27="Yes",OR(K27="",AND(L27&lt;&gt;"",M27="Yes"))),"Compliant","Non-compliant"))</f>
        <v/>
      </c>
      <c r="O27" s="20" t="str">
        <f aca="false">IF(C27="","",IF(K27="","Active","Closed"))</f>
        <v/>
      </c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28"/>
      <c r="G28" s="28"/>
      <c r="H28" s="28"/>
      <c r="I28" s="28"/>
      <c r="J28" s="28"/>
      <c r="K28" s="12"/>
      <c r="L28" s="11"/>
      <c r="M28" s="28"/>
      <c r="N28" s="20" t="str">
        <f aca="false">IF(C28="","",IF(AND(F28="Yes",OR(G28="Yes",G28="N/A"),H28="Yes",I28="Yes",J28="Yes",OR(K28="",AND(L28&lt;&gt;"",M28="Yes"))),"Compliant","Non-compliant"))</f>
        <v/>
      </c>
      <c r="O28" s="20" t="str">
        <f aca="false">IF(C28="","",IF(K28="","Active","Closed"))</f>
        <v/>
      </c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28"/>
      <c r="G29" s="28"/>
      <c r="H29" s="28"/>
      <c r="I29" s="28"/>
      <c r="J29" s="28"/>
      <c r="K29" s="12"/>
      <c r="L29" s="11"/>
      <c r="M29" s="28"/>
      <c r="N29" s="20" t="str">
        <f aca="false">IF(C29="","",IF(AND(F29="Yes",OR(G29="Yes",G29="N/A"),H29="Yes",I29="Yes",J29="Yes",OR(K29="",AND(L29&lt;&gt;"",M29="Yes"))),"Compliant","Non-compliant"))</f>
        <v/>
      </c>
      <c r="O29" s="20" t="str">
        <f aca="false">IF(C29="","",IF(K29="","Active","Closed"))</f>
        <v/>
      </c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28"/>
      <c r="G30" s="28"/>
      <c r="H30" s="28"/>
      <c r="I30" s="28"/>
      <c r="J30" s="28"/>
      <c r="K30" s="12"/>
      <c r="L30" s="11"/>
      <c r="M30" s="28"/>
      <c r="N30" s="20" t="str">
        <f aca="false">IF(C30="","",IF(AND(F30="Yes",OR(G30="Yes",G30="N/A"),H30="Yes",I30="Yes",J30="Yes",OR(K30="",AND(L30&lt;&gt;"",M30="Yes"))),"Compliant","Non-compliant"))</f>
        <v/>
      </c>
      <c r="O30" s="20" t="str">
        <f aca="false">IF(C30="","",IF(K30="","Active","Closed"))</f>
        <v/>
      </c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28"/>
      <c r="G31" s="28"/>
      <c r="H31" s="28"/>
      <c r="I31" s="28"/>
      <c r="J31" s="28"/>
      <c r="K31" s="12"/>
      <c r="L31" s="11"/>
      <c r="M31" s="28"/>
      <c r="N31" s="20" t="str">
        <f aca="false">IF(C31="","",IF(AND(F31="Yes",OR(G31="Yes",G31="N/A"),H31="Yes",I31="Yes",J31="Yes",OR(K31="",AND(L31&lt;&gt;"",M31="Yes"))),"Compliant","Non-compliant"))</f>
        <v/>
      </c>
      <c r="O31" s="20" t="str">
        <f aca="false">IF(C31="","",IF(K31="","Active","Closed"))</f>
        <v/>
      </c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28"/>
      <c r="G32" s="28"/>
      <c r="H32" s="28"/>
      <c r="I32" s="28"/>
      <c r="J32" s="28"/>
      <c r="K32" s="12"/>
      <c r="L32" s="11"/>
      <c r="M32" s="28"/>
      <c r="N32" s="20" t="str">
        <f aca="false">IF(C32="","",IF(AND(F32="Yes",OR(G32="Yes",G32="N/A"),H32="Yes",I32="Yes",J32="Yes",OR(K32="",AND(L32&lt;&gt;"",M32="Yes"))),"Compliant","Non-compliant"))</f>
        <v/>
      </c>
      <c r="O32" s="20" t="str">
        <f aca="false">IF(C32="","",IF(K32="","Active","Closed"))</f>
        <v/>
      </c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28"/>
      <c r="G33" s="28"/>
      <c r="H33" s="28"/>
      <c r="I33" s="28"/>
      <c r="J33" s="28"/>
      <c r="K33" s="12"/>
      <c r="L33" s="11"/>
      <c r="M33" s="28"/>
      <c r="N33" s="20" t="str">
        <f aca="false">IF(C33="","",IF(AND(F33="Yes",OR(G33="Yes",G33="N/A"),H33="Yes",I33="Yes",J33="Yes",OR(K33="",AND(L33&lt;&gt;"",M33="Yes"))),"Compliant","Non-compliant"))</f>
        <v/>
      </c>
      <c r="O33" s="20" t="str">
        <f aca="false">IF(C33="","",IF(K33="","Active","Closed"))</f>
        <v/>
      </c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28"/>
      <c r="G34" s="28"/>
      <c r="H34" s="28"/>
      <c r="I34" s="28"/>
      <c r="J34" s="28"/>
      <c r="K34" s="12"/>
      <c r="L34" s="11"/>
      <c r="M34" s="28"/>
      <c r="N34" s="20" t="str">
        <f aca="false">IF(C34="","",IF(AND(F34="Yes",OR(G34="Yes",G34="N/A"),H34="Yes",I34="Yes",J34="Yes",OR(K34="",AND(L34&lt;&gt;"",M34="Yes"))),"Compliant","Non-compliant"))</f>
        <v/>
      </c>
      <c r="O34" s="20" t="str">
        <f aca="false">IF(C34="","",IF(K34="","Active","Closed"))</f>
        <v/>
      </c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28"/>
      <c r="G35" s="28"/>
      <c r="H35" s="28"/>
      <c r="I35" s="28"/>
      <c r="J35" s="28"/>
      <c r="K35" s="12"/>
      <c r="L35" s="11"/>
      <c r="M35" s="28"/>
      <c r="N35" s="20" t="str">
        <f aca="false">IF(C35="","",IF(AND(F35="Yes",OR(G35="Yes",G35="N/A"),H35="Yes",I35="Yes",J35="Yes",OR(K35="",AND(L35&lt;&gt;"",M35="Yes"))),"Compliant","Non-compliant"))</f>
        <v/>
      </c>
      <c r="O35" s="20" t="str">
        <f aca="false">IF(C35="","",IF(K35="","Active","Closed"))</f>
        <v/>
      </c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28"/>
      <c r="G36" s="28"/>
      <c r="H36" s="28"/>
      <c r="I36" s="28"/>
      <c r="J36" s="28"/>
      <c r="K36" s="12"/>
      <c r="L36" s="11"/>
      <c r="M36" s="28"/>
      <c r="N36" s="20" t="str">
        <f aca="false">IF(C36="","",IF(AND(F36="Yes",OR(G36="Yes",G36="N/A"),H36="Yes",I36="Yes",J36="Yes",OR(K36="",AND(L36&lt;&gt;"",M36="Yes"))),"Compliant","Non-compliant"))</f>
        <v/>
      </c>
      <c r="O36" s="20" t="str">
        <f aca="false">IF(C36="","",IF(K36="","Active","Closed"))</f>
        <v/>
      </c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28"/>
      <c r="G37" s="28"/>
      <c r="H37" s="28"/>
      <c r="I37" s="28"/>
      <c r="J37" s="28"/>
      <c r="K37" s="12"/>
      <c r="L37" s="11"/>
      <c r="M37" s="28"/>
      <c r="N37" s="20" t="str">
        <f aca="false">IF(C37="","",IF(AND(F37="Yes",OR(G37="Yes",G37="N/A"),H37="Yes",I37="Yes",J37="Yes",OR(K37="",AND(L37&lt;&gt;"",M37="Yes"))),"Compliant","Non-compliant"))</f>
        <v/>
      </c>
      <c r="O37" s="20" t="str">
        <f aca="false">IF(C37="","",IF(K37="","Active","Closed"))</f>
        <v/>
      </c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28"/>
      <c r="G38" s="28"/>
      <c r="H38" s="28"/>
      <c r="I38" s="28"/>
      <c r="J38" s="28"/>
      <c r="K38" s="12"/>
      <c r="L38" s="11"/>
      <c r="M38" s="28"/>
      <c r="N38" s="20" t="str">
        <f aca="false">IF(C38="","",IF(AND(F38="Yes",OR(G38="Yes",G38="N/A"),H38="Yes",I38="Yes",J38="Yes",OR(K38="",AND(L38&lt;&gt;"",M38="Yes"))),"Compliant","Non-compliant"))</f>
        <v/>
      </c>
      <c r="O38" s="20" t="str">
        <f aca="false">IF(C38="","",IF(K38="","Active","Closed"))</f>
        <v/>
      </c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28"/>
      <c r="G39" s="28"/>
      <c r="H39" s="28"/>
      <c r="I39" s="28"/>
      <c r="J39" s="28"/>
      <c r="K39" s="12"/>
      <c r="L39" s="11"/>
      <c r="M39" s="28"/>
      <c r="N39" s="20" t="str">
        <f aca="false">IF(C39="","",IF(AND(F39="Yes",OR(G39="Yes",G39="N/A"),H39="Yes",I39="Yes",J39="Yes",OR(K39="",AND(L39&lt;&gt;"",M39="Yes"))),"Compliant","Non-compliant"))</f>
        <v/>
      </c>
      <c r="O39" s="20" t="str">
        <f aca="false">IF(C39="","",IF(K39="","Active","Closed"))</f>
        <v/>
      </c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28"/>
      <c r="G40" s="28"/>
      <c r="H40" s="28"/>
      <c r="I40" s="28"/>
      <c r="J40" s="28"/>
      <c r="K40" s="12"/>
      <c r="L40" s="11"/>
      <c r="M40" s="28"/>
      <c r="N40" s="20" t="str">
        <f aca="false">IF(C40="","",IF(AND(F40="Yes",OR(G40="Yes",G40="N/A"),H40="Yes",I40="Yes",J40="Yes",OR(K40="",AND(L40&lt;&gt;"",M40="Yes"))),"Compliant","Non-compliant"))</f>
        <v/>
      </c>
      <c r="O40" s="20" t="str">
        <f aca="false">IF(C40="","",IF(K40="","Active","Closed"))</f>
        <v/>
      </c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28"/>
      <c r="G41" s="28"/>
      <c r="H41" s="28"/>
      <c r="I41" s="28"/>
      <c r="J41" s="28"/>
      <c r="K41" s="12"/>
      <c r="L41" s="11"/>
      <c r="M41" s="28"/>
      <c r="N41" s="20" t="str">
        <f aca="false">IF(C41="","",IF(AND(F41="Yes",OR(G41="Yes",G41="N/A"),H41="Yes",I41="Yes",J41="Yes",OR(K41="",AND(L41&lt;&gt;"",M41="Yes"))),"Compliant","Non-compliant"))</f>
        <v/>
      </c>
      <c r="O41" s="20" t="str">
        <f aca="false">IF(C41="","",IF(K41="","Active","Closed"))</f>
        <v/>
      </c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28"/>
      <c r="G42" s="28"/>
      <c r="H42" s="28"/>
      <c r="I42" s="28"/>
      <c r="J42" s="28"/>
      <c r="K42" s="12"/>
      <c r="L42" s="11"/>
      <c r="M42" s="28"/>
      <c r="N42" s="20" t="str">
        <f aca="false">IF(C42="","",IF(AND(F42="Yes",OR(G42="Yes",G42="N/A"),H42="Yes",I42="Yes",J42="Yes",OR(K42="",AND(L42&lt;&gt;"",M42="Yes"))),"Compliant","Non-compliant"))</f>
        <v/>
      </c>
      <c r="O42" s="20" t="str">
        <f aca="false">IF(C42="","",IF(K42="","Active","Closed"))</f>
        <v/>
      </c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28"/>
      <c r="G43" s="28"/>
      <c r="H43" s="28"/>
      <c r="I43" s="28"/>
      <c r="J43" s="28"/>
      <c r="K43" s="12"/>
      <c r="L43" s="11"/>
      <c r="M43" s="28"/>
      <c r="N43" s="20" t="str">
        <f aca="false">IF(C43="","",IF(AND(F43="Yes",OR(G43="Yes",G43="N/A"),H43="Yes",I43="Yes",J43="Yes",OR(K43="",AND(L43&lt;&gt;"",M43="Yes"))),"Compliant","Non-compliant"))</f>
        <v/>
      </c>
      <c r="O43" s="20" t="str">
        <f aca="false">IF(C43="","",IF(K43="","Active","Closed"))</f>
        <v/>
      </c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28"/>
      <c r="G44" s="28"/>
      <c r="H44" s="28"/>
      <c r="I44" s="28"/>
      <c r="J44" s="28"/>
      <c r="K44" s="12"/>
      <c r="L44" s="11"/>
      <c r="M44" s="28"/>
      <c r="N44" s="20" t="str">
        <f aca="false">IF(C44="","",IF(AND(F44="Yes",OR(G44="Yes",G44="N/A"),H44="Yes",I44="Yes",J44="Yes",OR(K44="",AND(L44&lt;&gt;"",M44="Yes"))),"Compliant","Non-compliant"))</f>
        <v/>
      </c>
      <c r="O44" s="20" t="str">
        <f aca="false">IF(C44="","",IF(K44="","Active","Closed"))</f>
        <v/>
      </c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28"/>
      <c r="G45" s="28"/>
      <c r="H45" s="28"/>
      <c r="I45" s="28"/>
      <c r="J45" s="28"/>
      <c r="K45" s="12"/>
      <c r="L45" s="11"/>
      <c r="M45" s="28"/>
      <c r="N45" s="20" t="str">
        <f aca="false">IF(C45="","",IF(AND(F45="Yes",OR(G45="Yes",G45="N/A"),H45="Yes",I45="Yes",J45="Yes",OR(K45="",AND(L45&lt;&gt;"",M45="Yes"))),"Compliant","Non-compliant"))</f>
        <v/>
      </c>
      <c r="O45" s="20" t="str">
        <f aca="false">IF(C45="","",IF(K45="","Active","Closed"))</f>
        <v/>
      </c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28"/>
      <c r="G46" s="28"/>
      <c r="H46" s="28"/>
      <c r="I46" s="28"/>
      <c r="J46" s="28"/>
      <c r="K46" s="12"/>
      <c r="L46" s="11"/>
      <c r="M46" s="28"/>
      <c r="N46" s="20" t="str">
        <f aca="false">IF(C46="","",IF(AND(F46="Yes",OR(G46="Yes",G46="N/A"),H46="Yes",I46="Yes",J46="Yes",OR(K46="",AND(L46&lt;&gt;"",M46="Yes"))),"Compliant","Non-compliant"))</f>
        <v/>
      </c>
      <c r="O46" s="20" t="str">
        <f aca="false">IF(C46="","",IF(K46="","Active","Closed"))</f>
        <v/>
      </c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28"/>
      <c r="G47" s="28"/>
      <c r="H47" s="28"/>
      <c r="I47" s="28"/>
      <c r="J47" s="28"/>
      <c r="K47" s="12"/>
      <c r="L47" s="11"/>
      <c r="M47" s="28"/>
      <c r="N47" s="20" t="str">
        <f aca="false">IF(C47="","",IF(AND(F47="Yes",OR(G47="Yes",G47="N/A"),H47="Yes",I47="Yes",J47="Yes",OR(K47="",AND(L47&lt;&gt;"",M47="Yes"))),"Compliant","Non-compliant"))</f>
        <v/>
      </c>
      <c r="O47" s="20" t="str">
        <f aca="false">IF(C47="","",IF(K47="","Active","Closed"))</f>
        <v/>
      </c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28"/>
      <c r="G48" s="28"/>
      <c r="H48" s="28"/>
      <c r="I48" s="28"/>
      <c r="J48" s="28"/>
      <c r="K48" s="12"/>
      <c r="L48" s="11"/>
      <c r="M48" s="28"/>
      <c r="N48" s="20" t="str">
        <f aca="false">IF(C48="","",IF(AND(F48="Yes",OR(G48="Yes",G48="N/A"),H48="Yes",I48="Yes",J48="Yes",OR(K48="",AND(L48&lt;&gt;"",M48="Yes"))),"Compliant","Non-compliant"))</f>
        <v/>
      </c>
      <c r="O48" s="20" t="str">
        <f aca="false">IF(C48="","",IF(K48="","Active","Closed"))</f>
        <v/>
      </c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28"/>
      <c r="G49" s="28"/>
      <c r="H49" s="28"/>
      <c r="I49" s="28"/>
      <c r="J49" s="28"/>
      <c r="K49" s="12"/>
      <c r="L49" s="11"/>
      <c r="M49" s="28"/>
      <c r="N49" s="20" t="str">
        <f aca="false">IF(C49="","",IF(AND(F49="Yes",OR(G49="Yes",G49="N/A"),H49="Yes",I49="Yes",J49="Yes",OR(K49="",AND(L49&lt;&gt;"",M49="Yes"))),"Compliant","Non-compliant"))</f>
        <v/>
      </c>
      <c r="O49" s="20" t="str">
        <f aca="false">IF(C49="","",IF(K49="","Active","Closed"))</f>
        <v/>
      </c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28"/>
      <c r="G50" s="28"/>
      <c r="H50" s="28"/>
      <c r="I50" s="28"/>
      <c r="J50" s="28"/>
      <c r="K50" s="12"/>
      <c r="L50" s="11"/>
      <c r="M50" s="28"/>
      <c r="N50" s="20" t="str">
        <f aca="false">IF(C50="","",IF(AND(F50="Yes",OR(G50="Yes",G50="N/A"),H50="Yes",I50="Yes",J50="Yes",OR(K50="",AND(L50&lt;&gt;"",M50="Yes"))),"Compliant","Non-compliant"))</f>
        <v/>
      </c>
      <c r="O50" s="20" t="str">
        <f aca="false">IF(C50="","",IF(K50="","Active","Closed"))</f>
        <v/>
      </c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28"/>
      <c r="G51" s="28"/>
      <c r="H51" s="28"/>
      <c r="I51" s="28"/>
      <c r="J51" s="28"/>
      <c r="K51" s="12"/>
      <c r="L51" s="11"/>
      <c r="M51" s="28"/>
      <c r="N51" s="20" t="str">
        <f aca="false">IF(C51="","",IF(AND(F51="Yes",OR(G51="Yes",G51="N/A"),H51="Yes",I51="Yes",J51="Yes",OR(K51="",AND(L51&lt;&gt;"",M51="Yes"))),"Compliant","Non-compliant"))</f>
        <v/>
      </c>
      <c r="O51" s="20" t="str">
        <f aca="false">IF(C51="","",IF(K51="","Active","Closed"))</f>
        <v/>
      </c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28"/>
      <c r="G52" s="28"/>
      <c r="H52" s="28"/>
      <c r="I52" s="28"/>
      <c r="J52" s="28"/>
      <c r="K52" s="12"/>
      <c r="L52" s="11"/>
      <c r="M52" s="28"/>
      <c r="N52" s="20" t="str">
        <f aca="false">IF(C52="","",IF(AND(F52="Yes",OR(G52="Yes",G52="N/A"),H52="Yes",I52="Yes",J52="Yes",OR(K52="",AND(L52&lt;&gt;"",M52="Yes"))),"Compliant","Non-compliant"))</f>
        <v/>
      </c>
      <c r="O52" s="20" t="str">
        <f aca="false">IF(C52="","",IF(K52="","Active","Closed"))</f>
        <v/>
      </c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28"/>
      <c r="G53" s="28"/>
      <c r="H53" s="28"/>
      <c r="I53" s="28"/>
      <c r="J53" s="28"/>
      <c r="K53" s="12"/>
      <c r="L53" s="11"/>
      <c r="M53" s="28"/>
      <c r="N53" s="20" t="str">
        <f aca="false">IF(C53="","",IF(AND(F53="Yes",OR(G53="Yes",G53="N/A"),H53="Yes",I53="Yes",J53="Yes",OR(K53="",AND(L53&lt;&gt;"",M53="Yes"))),"Compliant","Non-compliant"))</f>
        <v/>
      </c>
      <c r="O53" s="20" t="str">
        <f aca="false">IF(C53="","",IF(K53="","Active","Closed"))</f>
        <v/>
      </c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28"/>
      <c r="G54" s="28"/>
      <c r="H54" s="28"/>
      <c r="I54" s="28"/>
      <c r="J54" s="28"/>
      <c r="K54" s="12"/>
      <c r="L54" s="11"/>
      <c r="M54" s="28"/>
      <c r="N54" s="20" t="str">
        <f aca="false">IF(C54="","",IF(AND(F54="Yes",OR(G54="Yes",G54="N/A"),H54="Yes",I54="Yes",J54="Yes",OR(K54="",AND(L54&lt;&gt;"",M54="Yes"))),"Compliant","Non-compliant"))</f>
        <v/>
      </c>
      <c r="O54" s="20" t="str">
        <f aca="false">IF(C54="","",IF(K54="","Active","Closed"))</f>
        <v/>
      </c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28"/>
      <c r="G55" s="28"/>
      <c r="H55" s="28"/>
      <c r="I55" s="28"/>
      <c r="J55" s="28"/>
      <c r="K55" s="12"/>
      <c r="L55" s="11"/>
      <c r="M55" s="28"/>
      <c r="N55" s="20" t="str">
        <f aca="false">IF(C55="","",IF(AND(F55="Yes",OR(G55="Yes",G55="N/A"),H55="Yes",I55="Yes",J55="Yes",OR(K55="",AND(L55&lt;&gt;"",M55="Yes"))),"Compliant","Non-compliant"))</f>
        <v/>
      </c>
      <c r="O55" s="20" t="str">
        <f aca="false">IF(C55="","",IF(K55="","Active","Closed"))</f>
        <v/>
      </c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28"/>
      <c r="G56" s="28"/>
      <c r="H56" s="28"/>
      <c r="I56" s="28"/>
      <c r="J56" s="28"/>
      <c r="K56" s="12"/>
      <c r="L56" s="11"/>
      <c r="M56" s="28"/>
      <c r="N56" s="20" t="str">
        <f aca="false">IF(C56="","",IF(AND(F56="Yes",OR(G56="Yes",G56="N/A"),H56="Yes",I56="Yes",J56="Yes",OR(K56="",AND(L56&lt;&gt;"",M56="Yes"))),"Compliant","Non-compliant"))</f>
        <v/>
      </c>
      <c r="O56" s="20" t="str">
        <f aca="false">IF(C56="","",IF(K56="","Active","Closed"))</f>
        <v/>
      </c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28"/>
      <c r="G57" s="28"/>
      <c r="H57" s="28"/>
      <c r="I57" s="28"/>
      <c r="J57" s="28"/>
      <c r="K57" s="12"/>
      <c r="L57" s="11"/>
      <c r="M57" s="28"/>
      <c r="N57" s="20" t="str">
        <f aca="false">IF(C57="","",IF(AND(F57="Yes",OR(G57="Yes",G57="N/A"),H57="Yes",I57="Yes",J57="Yes",OR(K57="",AND(L57&lt;&gt;"",M57="Yes"))),"Compliant","Non-compliant"))</f>
        <v/>
      </c>
      <c r="O57" s="20" t="str">
        <f aca="false">IF(C57="","",IF(K57="","Active","Closed"))</f>
        <v/>
      </c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28"/>
      <c r="G58" s="28"/>
      <c r="H58" s="28"/>
      <c r="I58" s="28"/>
      <c r="J58" s="28"/>
      <c r="K58" s="12"/>
      <c r="L58" s="11"/>
      <c r="M58" s="28"/>
      <c r="N58" s="20" t="str">
        <f aca="false">IF(C58="","",IF(AND(F58="Yes",OR(G58="Yes",G58="N/A"),H58="Yes",I58="Yes",J58="Yes",OR(K58="",AND(L58&lt;&gt;"",M58="Yes"))),"Compliant","Non-compliant"))</f>
        <v/>
      </c>
      <c r="O58" s="20" t="str">
        <f aca="false">IF(C58="","",IF(K58="","Active","Closed"))</f>
        <v/>
      </c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28"/>
      <c r="G59" s="28"/>
      <c r="H59" s="28"/>
      <c r="I59" s="28"/>
      <c r="J59" s="28"/>
      <c r="K59" s="12"/>
      <c r="L59" s="11"/>
      <c r="M59" s="28"/>
      <c r="N59" s="20" t="str">
        <f aca="false">IF(C59="","",IF(AND(F59="Yes",OR(G59="Yes",G59="N/A"),H59="Yes",I59="Yes",J59="Yes",OR(K59="",AND(L59&lt;&gt;"",M59="Yes"))),"Compliant","Non-compliant"))</f>
        <v/>
      </c>
      <c r="O59" s="20" t="str">
        <f aca="false">IF(C59="","",IF(K59="","Active","Closed"))</f>
        <v/>
      </c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28"/>
      <c r="G60" s="28"/>
      <c r="H60" s="28"/>
      <c r="I60" s="28"/>
      <c r="J60" s="28"/>
      <c r="K60" s="12"/>
      <c r="L60" s="11"/>
      <c r="M60" s="28"/>
      <c r="N60" s="20" t="str">
        <f aca="false">IF(C60="","",IF(AND(F60="Yes",OR(G60="Yes",G60="N/A"),H60="Yes",I60="Yes",J60="Yes",OR(K60="",AND(L60&lt;&gt;"",M60="Yes"))),"Compliant","Non-compliant"))</f>
        <v/>
      </c>
      <c r="O60" s="20" t="str">
        <f aca="false">IF(C60="","",IF(K60="","Active","Closed"))</f>
        <v/>
      </c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28"/>
      <c r="G61" s="28"/>
      <c r="H61" s="28"/>
      <c r="I61" s="28"/>
      <c r="J61" s="28"/>
      <c r="K61" s="12"/>
      <c r="L61" s="11"/>
      <c r="M61" s="28"/>
      <c r="N61" s="20" t="str">
        <f aca="false">IF(C61="","",IF(AND(F61="Yes",OR(G61="Yes",G61="N/A"),H61="Yes",I61="Yes",J61="Yes",OR(K61="",AND(L61&lt;&gt;"",M61="Yes"))),"Compliant","Non-compliant"))</f>
        <v/>
      </c>
      <c r="O61" s="20" t="str">
        <f aca="false">IF(C61="","",IF(K61="","Active","Closed"))</f>
        <v/>
      </c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28"/>
      <c r="G62" s="28"/>
      <c r="H62" s="28"/>
      <c r="I62" s="28"/>
      <c r="J62" s="28"/>
      <c r="K62" s="12"/>
      <c r="L62" s="11"/>
      <c r="M62" s="28"/>
      <c r="N62" s="20" t="str">
        <f aca="false">IF(C62="","",IF(AND(F62="Yes",OR(G62="Yes",G62="N/A"),H62="Yes",I62="Yes",J62="Yes",OR(K62="",AND(L62&lt;&gt;"",M62="Yes"))),"Compliant","Non-compliant"))</f>
        <v/>
      </c>
      <c r="O62" s="20" t="str">
        <f aca="false">IF(C62="","",IF(K62="","Active","Closed"))</f>
        <v/>
      </c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28"/>
      <c r="G63" s="28"/>
      <c r="H63" s="28"/>
      <c r="I63" s="28"/>
      <c r="J63" s="28"/>
      <c r="K63" s="12"/>
      <c r="L63" s="11"/>
      <c r="M63" s="28"/>
      <c r="N63" s="20" t="str">
        <f aca="false">IF(C63="","",IF(AND(F63="Yes",OR(G63="Yes",G63="N/A"),H63="Yes",I63="Yes",J63="Yes",OR(K63="",AND(L63&lt;&gt;"",M63="Yes"))),"Compliant","Non-compliant"))</f>
        <v/>
      </c>
      <c r="O63" s="20" t="str">
        <f aca="false">IF(C63="","",IF(K63="","Active","Closed"))</f>
        <v/>
      </c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28"/>
      <c r="G64" s="28"/>
      <c r="H64" s="28"/>
      <c r="I64" s="28"/>
      <c r="J64" s="28"/>
      <c r="K64" s="12"/>
      <c r="L64" s="11"/>
      <c r="M64" s="28"/>
      <c r="N64" s="20" t="str">
        <f aca="false">IF(C64="","",IF(AND(F64="Yes",OR(G64="Yes",G64="N/A"),H64="Yes",I64="Yes",J64="Yes",OR(K64="",AND(L64&lt;&gt;"",M64="Yes"))),"Compliant","Non-compliant"))</f>
        <v/>
      </c>
      <c r="O64" s="20" t="str">
        <f aca="false">IF(C64="","",IF(K64="","Active","Closed"))</f>
        <v/>
      </c>
    </row>
  </sheetData>
  <conditionalFormatting sqref="N5:N64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2">
      <formula>"Non-compliant"</formula>
    </cfRule>
  </conditionalFormatting>
  <conditionalFormatting sqref="O5:O64">
    <cfRule type="cellIs" priority="4" operator="equal" aboveAverage="0" equalAverage="0" bottom="0" percent="0" rank="0" text="" dxfId="0">
      <formula>"Closed"</formula>
    </cfRule>
    <cfRule type="cellIs" priority="5" operator="equal" aboveAverage="0" equalAverage="0" bottom="0" percent="0" rank="0" text="" dxfId="1">
      <formula>"Active"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F5:F6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G5:G64" type="list">
      <formula1>Lists!$B$2:$B$4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5:J6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5:M6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19.7" hidden="false" customHeight="false" outlineLevel="0" collapsed="false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4" t="s">
        <v>260</v>
      </c>
      <c r="B4" s="14" t="s">
        <v>125</v>
      </c>
      <c r="C4" s="14" t="s">
        <v>261</v>
      </c>
      <c r="D4" s="14" t="s">
        <v>262</v>
      </c>
      <c r="E4" s="14" t="s">
        <v>263</v>
      </c>
      <c r="F4" s="14" t="s">
        <v>264</v>
      </c>
      <c r="G4" s="14" t="s">
        <v>265</v>
      </c>
      <c r="H4" s="14" t="s">
        <v>266</v>
      </c>
      <c r="I4" s="14" t="s">
        <v>267</v>
      </c>
      <c r="J4" s="14" t="s">
        <v>268</v>
      </c>
      <c r="K4" s="14" t="s">
        <v>216</v>
      </c>
    </row>
    <row r="5" customFormat="false" ht="26.85" hidden="false" customHeight="false" outlineLevel="0" collapsed="false">
      <c r="A5" s="11" t="s">
        <v>269</v>
      </c>
      <c r="B5" s="11" t="s">
        <v>270</v>
      </c>
      <c r="C5" s="11" t="s">
        <v>271</v>
      </c>
      <c r="D5" s="12" t="n">
        <v>46275</v>
      </c>
      <c r="E5" s="12" t="n">
        <v>46275</v>
      </c>
      <c r="F5" s="28" t="s">
        <v>272</v>
      </c>
      <c r="G5" s="20" t="str">
        <f aca="false">IF(D5="","",IF(E5&lt;&gt;"",IF(F5="Fail","Completed – failed","Completed"),IF(D5&lt;Dashboard!$C$5,"Missed",IF(D5-Dashboard!$C$5&lt;=Lists!$Q$2,"Due soon","Scheduled"))))</f>
        <v>Completed</v>
      </c>
      <c r="H5" s="13" t="n">
        <v>180</v>
      </c>
      <c r="I5" s="33" t="n">
        <f aca="false">IF(OR(D5="",H5=""),"",IF(E5&lt;&gt;"",E5,D5)+H5)</f>
        <v>46455</v>
      </c>
      <c r="J5" s="11" t="s">
        <v>225</v>
      </c>
      <c r="K5" s="11"/>
    </row>
    <row r="6" customFormat="false" ht="26.85" hidden="false" customHeight="false" outlineLevel="0" collapsed="false">
      <c r="A6" s="11" t="s">
        <v>126</v>
      </c>
      <c r="B6" s="11" t="s">
        <v>273</v>
      </c>
      <c r="C6" s="11" t="s">
        <v>274</v>
      </c>
      <c r="D6" s="12" t="n">
        <v>46277</v>
      </c>
      <c r="E6" s="12" t="n">
        <v>46277</v>
      </c>
      <c r="F6" s="28" t="s">
        <v>272</v>
      </c>
      <c r="G6" s="20" t="str">
        <f aca="false">IF(D6="","",IF(E6&lt;&gt;"",IF(F6="Fail","Completed – failed","Completed"),IF(D6&lt;Dashboard!$C$5,"Missed",IF(D6-Dashboard!$C$5&lt;=Lists!$Q$2,"Due soon","Scheduled"))))</f>
        <v>Completed</v>
      </c>
      <c r="H6" s="13" t="n">
        <v>365</v>
      </c>
      <c r="I6" s="33" t="n">
        <f aca="false">IF(OR(D6="",H6=""),"",IF(E6&lt;&gt;"",E6,D6)+H6)</f>
        <v>46642</v>
      </c>
      <c r="J6" s="11" t="s">
        <v>225</v>
      </c>
      <c r="K6" s="11"/>
    </row>
    <row r="7" customFormat="false" ht="26.85" hidden="false" customHeight="false" outlineLevel="0" collapsed="false">
      <c r="A7" s="11" t="s">
        <v>126</v>
      </c>
      <c r="B7" s="11" t="s">
        <v>273</v>
      </c>
      <c r="C7" s="11" t="s">
        <v>275</v>
      </c>
      <c r="D7" s="12" t="n">
        <v>46277</v>
      </c>
      <c r="E7" s="12" t="n">
        <v>46278</v>
      </c>
      <c r="F7" s="28" t="s">
        <v>272</v>
      </c>
      <c r="G7" s="20" t="str">
        <f aca="false">IF(D7="","",IF(E7&lt;&gt;"",IF(F7="Fail","Completed – failed","Completed"),IF(D7&lt;Dashboard!$C$5,"Missed",IF(D7-Dashboard!$C$5&lt;=Lists!$Q$2,"Due soon","Scheduled"))))</f>
        <v>Completed</v>
      </c>
      <c r="H7" s="13" t="n">
        <v>90</v>
      </c>
      <c r="I7" s="33" t="n">
        <f aca="false">IF(OR(D7="",H7=""),"",IF(E7&lt;&gt;"",E7,D7)+H7)</f>
        <v>46368</v>
      </c>
      <c r="J7" s="11" t="s">
        <v>225</v>
      </c>
      <c r="K7" s="11"/>
    </row>
    <row r="8" customFormat="false" ht="26.85" hidden="false" customHeight="false" outlineLevel="0" collapsed="false">
      <c r="A8" s="11" t="s">
        <v>276</v>
      </c>
      <c r="B8" s="11" t="s">
        <v>126</v>
      </c>
      <c r="C8" s="11" t="s">
        <v>277</v>
      </c>
      <c r="D8" s="12" t="n">
        <v>46285</v>
      </c>
      <c r="E8" s="12" t="n">
        <v>46286</v>
      </c>
      <c r="F8" s="28" t="s">
        <v>278</v>
      </c>
      <c r="G8" s="20" t="str">
        <f aca="false">IF(D8="","",IF(E8&lt;&gt;"",IF(F8="Fail","Completed – failed","Completed"),IF(D8&lt;Dashboard!$C$5,"Missed",IF(D8-Dashboard!$C$5&lt;=Lists!$Q$2,"Due soon","Scheduled"))))</f>
        <v>Completed – failed</v>
      </c>
      <c r="H8" s="13" t="n">
        <v>30</v>
      </c>
      <c r="I8" s="33" t="n">
        <f aca="false">IF(OR(D8="",H8=""),"",IF(E8&lt;&gt;"",E8,D8)+H8)</f>
        <v>46316</v>
      </c>
      <c r="J8" s="11" t="s">
        <v>225</v>
      </c>
      <c r="K8" s="11" t="s">
        <v>279</v>
      </c>
    </row>
    <row r="9" customFormat="false" ht="26.85" hidden="false" customHeight="false" outlineLevel="0" collapsed="false">
      <c r="A9" s="11" t="s">
        <v>280</v>
      </c>
      <c r="B9" s="11" t="s">
        <v>281</v>
      </c>
      <c r="C9" s="11" t="s">
        <v>282</v>
      </c>
      <c r="D9" s="12" t="n">
        <v>46295</v>
      </c>
      <c r="E9" s="12"/>
      <c r="F9" s="28"/>
      <c r="G9" s="20" t="str">
        <f aca="false">IF(D9="","",IF(E9&lt;&gt;"",IF(F9="Fail","Completed – failed","Completed"),IF(D9&lt;Dashboard!$C$5,"Missed",IF(D9-Dashboard!$C$5&lt;=Lists!$Q$2,"Due soon","Scheduled"))))</f>
        <v>Missed</v>
      </c>
      <c r="H9" s="13" t="n">
        <v>90</v>
      </c>
      <c r="I9" s="33" t="n">
        <f aca="false">IF(OR(D9="",H9=""),"",IF(E9&lt;&gt;"",E9,D9)+H9)</f>
        <v>46385</v>
      </c>
      <c r="J9" s="11" t="s">
        <v>225</v>
      </c>
      <c r="K9" s="11"/>
    </row>
    <row r="10" customFormat="false" ht="26.85" hidden="false" customHeight="false" outlineLevel="0" collapsed="false">
      <c r="A10" s="11" t="s">
        <v>186</v>
      </c>
      <c r="B10" s="11" t="s">
        <v>273</v>
      </c>
      <c r="C10" s="11" t="s">
        <v>283</v>
      </c>
      <c r="D10" s="12" t="n">
        <v>46315</v>
      </c>
      <c r="E10" s="12"/>
      <c r="F10" s="28"/>
      <c r="G10" s="20" t="str">
        <f aca="false">IF(D10="","",IF(E10&lt;&gt;"",IF(F10="Fail","Completed – failed","Completed"),IF(D10&lt;Dashboard!$C$5,"Missed",IF(D10-Dashboard!$C$5&lt;=Lists!$Q$2,"Due soon","Scheduled"))))</f>
        <v>Due soon</v>
      </c>
      <c r="H10" s="13" t="n">
        <v>180</v>
      </c>
      <c r="I10" s="33" t="n">
        <f aca="false">IF(OR(D10="",H10=""),"",IF(E10&lt;&gt;"",E10,D10)+H10)</f>
        <v>46495</v>
      </c>
      <c r="J10" s="11" t="s">
        <v>225</v>
      </c>
      <c r="K10" s="11"/>
    </row>
    <row r="11" customFormat="false" ht="15" hidden="false" customHeight="false" outlineLevel="0" collapsed="false">
      <c r="A11" s="11"/>
      <c r="B11" s="11"/>
      <c r="C11" s="11"/>
      <c r="D11" s="12"/>
      <c r="E11" s="12"/>
      <c r="F11" s="28"/>
      <c r="G11" s="20" t="str">
        <f aca="false">IF(D11="","",IF(E11&lt;&gt;"",IF(F11="Fail","Completed – failed","Completed"),IF(D11&lt;Dashboard!$C$5,"Missed",IF(D11-Dashboard!$C$5&lt;=Lists!$Q$2,"Due soon","Scheduled"))))</f>
        <v/>
      </c>
      <c r="H11" s="13"/>
      <c r="I11" s="33" t="str">
        <f aca="false">IF(OR(D11="",H11=""),"",IF(E11&lt;&gt;"",E11,D11)+H11)</f>
        <v/>
      </c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12"/>
      <c r="E12" s="12"/>
      <c r="F12" s="28"/>
      <c r="G12" s="20" t="str">
        <f aca="false">IF(D12="","",IF(E12&lt;&gt;"",IF(F12="Fail","Completed – failed","Completed"),IF(D12&lt;Dashboard!$C$5,"Missed",IF(D12-Dashboard!$C$5&lt;=Lists!$Q$2,"Due soon","Scheduled"))))</f>
        <v/>
      </c>
      <c r="H12" s="13"/>
      <c r="I12" s="33" t="str">
        <f aca="false">IF(OR(D12="",H12=""),"",IF(E12&lt;&gt;"",E12,D12)+H12)</f>
        <v/>
      </c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12"/>
      <c r="E13" s="12"/>
      <c r="F13" s="28"/>
      <c r="G13" s="20" t="str">
        <f aca="false">IF(D13="","",IF(E13&lt;&gt;"",IF(F13="Fail","Completed – failed","Completed"),IF(D13&lt;Dashboard!$C$5,"Missed",IF(D13-Dashboard!$C$5&lt;=Lists!$Q$2,"Due soon","Scheduled"))))</f>
        <v/>
      </c>
      <c r="H13" s="13"/>
      <c r="I13" s="33" t="str">
        <f aca="false">IF(OR(D13="",H13=""),"",IF(E13&lt;&gt;"",E13,D13)+H13)</f>
        <v/>
      </c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12"/>
      <c r="E14" s="12"/>
      <c r="F14" s="28"/>
      <c r="G14" s="20" t="str">
        <f aca="false">IF(D14="","",IF(E14&lt;&gt;"",IF(F14="Fail","Completed – failed","Completed"),IF(D14&lt;Dashboard!$C$5,"Missed",IF(D14-Dashboard!$C$5&lt;=Lists!$Q$2,"Due soon","Scheduled"))))</f>
        <v/>
      </c>
      <c r="H14" s="13"/>
      <c r="I14" s="33" t="str">
        <f aca="false">IF(OR(D14="",H14=""),"",IF(E14&lt;&gt;"",E14,D14)+H14)</f>
        <v/>
      </c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12"/>
      <c r="E15" s="12"/>
      <c r="F15" s="28"/>
      <c r="G15" s="20" t="str">
        <f aca="false">IF(D15="","",IF(E15&lt;&gt;"",IF(F15="Fail","Completed – failed","Completed"),IF(D15&lt;Dashboard!$C$5,"Missed",IF(D15-Dashboard!$C$5&lt;=Lists!$Q$2,"Due soon","Scheduled"))))</f>
        <v/>
      </c>
      <c r="H15" s="13"/>
      <c r="I15" s="33" t="str">
        <f aca="false">IF(OR(D15="",H15=""),"",IF(E15&lt;&gt;"",E15,D15)+H15)</f>
        <v/>
      </c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12"/>
      <c r="E16" s="12"/>
      <c r="F16" s="28"/>
      <c r="G16" s="20" t="str">
        <f aca="false">IF(D16="","",IF(E16&lt;&gt;"",IF(F16="Fail","Completed – failed","Completed"),IF(D16&lt;Dashboard!$C$5,"Missed",IF(D16-Dashboard!$C$5&lt;=Lists!$Q$2,"Due soon","Scheduled"))))</f>
        <v/>
      </c>
      <c r="H16" s="13"/>
      <c r="I16" s="33" t="str">
        <f aca="false">IF(OR(D16="",H16=""),"",IF(E16&lt;&gt;"",E16,D16)+H16)</f>
        <v/>
      </c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12"/>
      <c r="E17" s="12"/>
      <c r="F17" s="28"/>
      <c r="G17" s="20" t="str">
        <f aca="false">IF(D17="","",IF(E17&lt;&gt;"",IF(F17="Fail","Completed – failed","Completed"),IF(D17&lt;Dashboard!$C$5,"Missed",IF(D17-Dashboard!$C$5&lt;=Lists!$Q$2,"Due soon","Scheduled"))))</f>
        <v/>
      </c>
      <c r="H17" s="13"/>
      <c r="I17" s="33" t="str">
        <f aca="false">IF(OR(D17="",H17=""),"",IF(E17&lt;&gt;"",E17,D17)+H17)</f>
        <v/>
      </c>
      <c r="J17" s="11"/>
      <c r="K17" s="11"/>
    </row>
    <row r="18" customFormat="false" ht="15" hidden="false" customHeight="false" outlineLevel="0" collapsed="false">
      <c r="A18" s="11"/>
      <c r="B18" s="11"/>
      <c r="C18" s="11"/>
      <c r="D18" s="12"/>
      <c r="E18" s="12"/>
      <c r="F18" s="28"/>
      <c r="G18" s="20" t="str">
        <f aca="false">IF(D18="","",IF(E18&lt;&gt;"",IF(F18="Fail","Completed – failed","Completed"),IF(D18&lt;Dashboard!$C$5,"Missed",IF(D18-Dashboard!$C$5&lt;=Lists!$Q$2,"Due soon","Scheduled"))))</f>
        <v/>
      </c>
      <c r="H18" s="13"/>
      <c r="I18" s="33" t="str">
        <f aca="false">IF(OR(D18="",H18=""),"",IF(E18&lt;&gt;"",E18,D18)+H18)</f>
        <v/>
      </c>
      <c r="J18" s="11"/>
      <c r="K18" s="11"/>
    </row>
    <row r="19" customFormat="false" ht="15" hidden="false" customHeight="false" outlineLevel="0" collapsed="false">
      <c r="A19" s="11"/>
      <c r="B19" s="11"/>
      <c r="C19" s="11"/>
      <c r="D19" s="12"/>
      <c r="E19" s="12"/>
      <c r="F19" s="28"/>
      <c r="G19" s="20" t="str">
        <f aca="false">IF(D19="","",IF(E19&lt;&gt;"",IF(F19="Fail","Completed – failed","Completed"),IF(D19&lt;Dashboard!$C$5,"Missed",IF(D19-Dashboard!$C$5&lt;=Lists!$Q$2,"Due soon","Scheduled"))))</f>
        <v/>
      </c>
      <c r="H19" s="13"/>
      <c r="I19" s="33" t="str">
        <f aca="false">IF(OR(D19="",H19=""),"",IF(E19&lt;&gt;"",E19,D19)+H19)</f>
        <v/>
      </c>
      <c r="J19" s="11"/>
      <c r="K19" s="11"/>
    </row>
    <row r="20" customFormat="false" ht="15" hidden="false" customHeight="false" outlineLevel="0" collapsed="false">
      <c r="A20" s="11"/>
      <c r="B20" s="11"/>
      <c r="C20" s="11"/>
      <c r="D20" s="12"/>
      <c r="E20" s="12"/>
      <c r="F20" s="28"/>
      <c r="G20" s="20" t="str">
        <f aca="false">IF(D20="","",IF(E20&lt;&gt;"",IF(F20="Fail","Completed – failed","Completed"),IF(D20&lt;Dashboard!$C$5,"Missed",IF(D20-Dashboard!$C$5&lt;=Lists!$Q$2,"Due soon","Scheduled"))))</f>
        <v/>
      </c>
      <c r="H20" s="13"/>
      <c r="I20" s="33" t="str">
        <f aca="false">IF(OR(D20="",H20=""),"",IF(E20&lt;&gt;"",E20,D20)+H20)</f>
        <v/>
      </c>
      <c r="J20" s="11"/>
      <c r="K20" s="11"/>
    </row>
    <row r="21" customFormat="false" ht="15" hidden="false" customHeight="false" outlineLevel="0" collapsed="false">
      <c r="A21" s="11"/>
      <c r="B21" s="11"/>
      <c r="C21" s="11"/>
      <c r="D21" s="12"/>
      <c r="E21" s="12"/>
      <c r="F21" s="28"/>
      <c r="G21" s="20" t="str">
        <f aca="false">IF(D21="","",IF(E21&lt;&gt;"",IF(F21="Fail","Completed – failed","Completed"),IF(D21&lt;Dashboard!$C$5,"Missed",IF(D21-Dashboard!$C$5&lt;=Lists!$Q$2,"Due soon","Scheduled"))))</f>
        <v/>
      </c>
      <c r="H21" s="13"/>
      <c r="I21" s="33" t="str">
        <f aca="false">IF(OR(D21="",H21=""),"",IF(E21&lt;&gt;"",E21,D21)+H21)</f>
        <v/>
      </c>
      <c r="J21" s="11"/>
      <c r="K21" s="11"/>
    </row>
    <row r="22" customFormat="false" ht="15" hidden="false" customHeight="false" outlineLevel="0" collapsed="false">
      <c r="A22" s="11"/>
      <c r="B22" s="11"/>
      <c r="C22" s="11"/>
      <c r="D22" s="12"/>
      <c r="E22" s="12"/>
      <c r="F22" s="28"/>
      <c r="G22" s="20" t="str">
        <f aca="false">IF(D22="","",IF(E22&lt;&gt;"",IF(F22="Fail","Completed – failed","Completed"),IF(D22&lt;Dashboard!$C$5,"Missed",IF(D22-Dashboard!$C$5&lt;=Lists!$Q$2,"Due soon","Scheduled"))))</f>
        <v/>
      </c>
      <c r="H22" s="13"/>
      <c r="I22" s="33" t="str">
        <f aca="false">IF(OR(D22="",H22=""),"",IF(E22&lt;&gt;"",E22,D22)+H22)</f>
        <v/>
      </c>
      <c r="J22" s="11"/>
      <c r="K22" s="11"/>
    </row>
    <row r="23" customFormat="false" ht="15" hidden="false" customHeight="false" outlineLevel="0" collapsed="false">
      <c r="A23" s="11"/>
      <c r="B23" s="11"/>
      <c r="C23" s="11"/>
      <c r="D23" s="12"/>
      <c r="E23" s="12"/>
      <c r="F23" s="28"/>
      <c r="G23" s="20" t="str">
        <f aca="false">IF(D23="","",IF(E23&lt;&gt;"",IF(F23="Fail","Completed – failed","Completed"),IF(D23&lt;Dashboard!$C$5,"Missed",IF(D23-Dashboard!$C$5&lt;=Lists!$Q$2,"Due soon","Scheduled"))))</f>
        <v/>
      </c>
      <c r="H23" s="13"/>
      <c r="I23" s="33" t="str">
        <f aca="false">IF(OR(D23="",H23=""),"",IF(E23&lt;&gt;"",E23,D23)+H23)</f>
        <v/>
      </c>
      <c r="J23" s="11"/>
      <c r="K23" s="11"/>
    </row>
    <row r="24" customFormat="false" ht="15" hidden="false" customHeight="false" outlineLevel="0" collapsed="false">
      <c r="A24" s="11"/>
      <c r="B24" s="11"/>
      <c r="C24" s="11"/>
      <c r="D24" s="12"/>
      <c r="E24" s="12"/>
      <c r="F24" s="28"/>
      <c r="G24" s="20" t="str">
        <f aca="false">IF(D24="","",IF(E24&lt;&gt;"",IF(F24="Fail","Completed – failed","Completed"),IF(D24&lt;Dashboard!$C$5,"Missed",IF(D24-Dashboard!$C$5&lt;=Lists!$Q$2,"Due soon","Scheduled"))))</f>
        <v/>
      </c>
      <c r="H24" s="13"/>
      <c r="I24" s="33" t="str">
        <f aca="false">IF(OR(D24="",H24=""),"",IF(E24&lt;&gt;"",E24,D24)+H24)</f>
        <v/>
      </c>
      <c r="J24" s="11"/>
      <c r="K24" s="11"/>
    </row>
    <row r="25" customFormat="false" ht="15" hidden="false" customHeight="false" outlineLevel="0" collapsed="false">
      <c r="A25" s="11"/>
      <c r="B25" s="11"/>
      <c r="C25" s="11"/>
      <c r="D25" s="12"/>
      <c r="E25" s="12"/>
      <c r="F25" s="28"/>
      <c r="G25" s="20" t="str">
        <f aca="false">IF(D25="","",IF(E25&lt;&gt;"",IF(F25="Fail","Completed – failed","Completed"),IF(D25&lt;Dashboard!$C$5,"Missed",IF(D25-Dashboard!$C$5&lt;=Lists!$Q$2,"Due soon","Scheduled"))))</f>
        <v/>
      </c>
      <c r="H25" s="13"/>
      <c r="I25" s="33" t="str">
        <f aca="false">IF(OR(D25="",H25=""),"",IF(E25&lt;&gt;"",E25,D25)+H25)</f>
        <v/>
      </c>
      <c r="J25" s="11"/>
      <c r="K25" s="11"/>
    </row>
    <row r="26" customFormat="false" ht="15" hidden="false" customHeight="false" outlineLevel="0" collapsed="false">
      <c r="A26" s="11"/>
      <c r="B26" s="11"/>
      <c r="C26" s="11"/>
      <c r="D26" s="12"/>
      <c r="E26" s="12"/>
      <c r="F26" s="28"/>
      <c r="G26" s="20" t="str">
        <f aca="false">IF(D26="","",IF(E26&lt;&gt;"",IF(F26="Fail","Completed – failed","Completed"),IF(D26&lt;Dashboard!$C$5,"Missed",IF(D26-Dashboard!$C$5&lt;=Lists!$Q$2,"Due soon","Scheduled"))))</f>
        <v/>
      </c>
      <c r="H26" s="13"/>
      <c r="I26" s="33" t="str">
        <f aca="false">IF(OR(D26="",H26=""),"",IF(E26&lt;&gt;"",E26,D26)+H26)</f>
        <v/>
      </c>
      <c r="J26" s="11"/>
      <c r="K26" s="11"/>
    </row>
    <row r="27" customFormat="false" ht="15" hidden="false" customHeight="false" outlineLevel="0" collapsed="false">
      <c r="A27" s="11"/>
      <c r="B27" s="11"/>
      <c r="C27" s="11"/>
      <c r="D27" s="12"/>
      <c r="E27" s="12"/>
      <c r="F27" s="28"/>
      <c r="G27" s="20" t="str">
        <f aca="false">IF(D27="","",IF(E27&lt;&gt;"",IF(F27="Fail","Completed – failed","Completed"),IF(D27&lt;Dashboard!$C$5,"Missed",IF(D27-Dashboard!$C$5&lt;=Lists!$Q$2,"Due soon","Scheduled"))))</f>
        <v/>
      </c>
      <c r="H27" s="13"/>
      <c r="I27" s="33" t="str">
        <f aca="false">IF(OR(D27="",H27=""),"",IF(E27&lt;&gt;"",E27,D27)+H27)</f>
        <v/>
      </c>
      <c r="J27" s="11"/>
      <c r="K27" s="11"/>
    </row>
    <row r="28" customFormat="false" ht="15" hidden="false" customHeight="false" outlineLevel="0" collapsed="false">
      <c r="A28" s="11"/>
      <c r="B28" s="11"/>
      <c r="C28" s="11"/>
      <c r="D28" s="12"/>
      <c r="E28" s="12"/>
      <c r="F28" s="28"/>
      <c r="G28" s="20" t="str">
        <f aca="false">IF(D28="","",IF(E28&lt;&gt;"",IF(F28="Fail","Completed – failed","Completed"),IF(D28&lt;Dashboard!$C$5,"Missed",IF(D28-Dashboard!$C$5&lt;=Lists!$Q$2,"Due soon","Scheduled"))))</f>
        <v/>
      </c>
      <c r="H28" s="13"/>
      <c r="I28" s="33" t="str">
        <f aca="false">IF(OR(D28="",H28=""),"",IF(E28&lt;&gt;"",E28,D28)+H28)</f>
        <v/>
      </c>
      <c r="J28" s="11"/>
      <c r="K28" s="11"/>
    </row>
    <row r="29" customFormat="false" ht="15" hidden="false" customHeight="false" outlineLevel="0" collapsed="false">
      <c r="A29" s="11"/>
      <c r="B29" s="11"/>
      <c r="C29" s="11"/>
      <c r="D29" s="12"/>
      <c r="E29" s="12"/>
      <c r="F29" s="28"/>
      <c r="G29" s="20" t="str">
        <f aca="false">IF(D29="","",IF(E29&lt;&gt;"",IF(F29="Fail","Completed – failed","Completed"),IF(D29&lt;Dashboard!$C$5,"Missed",IF(D29-Dashboard!$C$5&lt;=Lists!$Q$2,"Due soon","Scheduled"))))</f>
        <v/>
      </c>
      <c r="H29" s="13"/>
      <c r="I29" s="33" t="str">
        <f aca="false">IF(OR(D29="",H29=""),"",IF(E29&lt;&gt;"",E29,D29)+H29)</f>
        <v/>
      </c>
      <c r="J29" s="11"/>
      <c r="K29" s="11"/>
    </row>
    <row r="30" customFormat="false" ht="15" hidden="false" customHeight="false" outlineLevel="0" collapsed="false">
      <c r="A30" s="11"/>
      <c r="B30" s="11"/>
      <c r="C30" s="11"/>
      <c r="D30" s="12"/>
      <c r="E30" s="12"/>
      <c r="F30" s="28"/>
      <c r="G30" s="20" t="str">
        <f aca="false">IF(D30="","",IF(E30&lt;&gt;"",IF(F30="Fail","Completed – failed","Completed"),IF(D30&lt;Dashboard!$C$5,"Missed",IF(D30-Dashboard!$C$5&lt;=Lists!$Q$2,"Due soon","Scheduled"))))</f>
        <v/>
      </c>
      <c r="H30" s="13"/>
      <c r="I30" s="33" t="str">
        <f aca="false">IF(OR(D30="",H30=""),"",IF(E30&lt;&gt;"",E30,D30)+H30)</f>
        <v/>
      </c>
      <c r="J30" s="11"/>
      <c r="K30" s="11"/>
    </row>
    <row r="31" customFormat="false" ht="15" hidden="false" customHeight="false" outlineLevel="0" collapsed="false">
      <c r="A31" s="11"/>
      <c r="B31" s="11"/>
      <c r="C31" s="11"/>
      <c r="D31" s="12"/>
      <c r="E31" s="12"/>
      <c r="F31" s="28"/>
      <c r="G31" s="20" t="str">
        <f aca="false">IF(D31="","",IF(E31&lt;&gt;"",IF(F31="Fail","Completed – failed","Completed"),IF(D31&lt;Dashboard!$C$5,"Missed",IF(D31-Dashboard!$C$5&lt;=Lists!$Q$2,"Due soon","Scheduled"))))</f>
        <v/>
      </c>
      <c r="H31" s="13"/>
      <c r="I31" s="33" t="str">
        <f aca="false">IF(OR(D31="",H31=""),"",IF(E31&lt;&gt;"",E31,D31)+H31)</f>
        <v/>
      </c>
      <c r="J31" s="11"/>
      <c r="K31" s="11"/>
    </row>
    <row r="32" customFormat="false" ht="15" hidden="false" customHeight="false" outlineLevel="0" collapsed="false">
      <c r="A32" s="11"/>
      <c r="B32" s="11"/>
      <c r="C32" s="11"/>
      <c r="D32" s="12"/>
      <c r="E32" s="12"/>
      <c r="F32" s="28"/>
      <c r="G32" s="20" t="str">
        <f aca="false">IF(D32="","",IF(E32&lt;&gt;"",IF(F32="Fail","Completed – failed","Completed"),IF(D32&lt;Dashboard!$C$5,"Missed",IF(D32-Dashboard!$C$5&lt;=Lists!$Q$2,"Due soon","Scheduled"))))</f>
        <v/>
      </c>
      <c r="H32" s="13"/>
      <c r="I32" s="33" t="str">
        <f aca="false">IF(OR(D32="",H32=""),"",IF(E32&lt;&gt;"",E32,D32)+H32)</f>
        <v/>
      </c>
      <c r="J32" s="11"/>
      <c r="K32" s="11"/>
    </row>
    <row r="33" customFormat="false" ht="15" hidden="false" customHeight="false" outlineLevel="0" collapsed="false">
      <c r="A33" s="11"/>
      <c r="B33" s="11"/>
      <c r="C33" s="11"/>
      <c r="D33" s="12"/>
      <c r="E33" s="12"/>
      <c r="F33" s="28"/>
      <c r="G33" s="20" t="str">
        <f aca="false">IF(D33="","",IF(E33&lt;&gt;"",IF(F33="Fail","Completed – failed","Completed"),IF(D33&lt;Dashboard!$C$5,"Missed",IF(D33-Dashboard!$C$5&lt;=Lists!$Q$2,"Due soon","Scheduled"))))</f>
        <v/>
      </c>
      <c r="H33" s="13"/>
      <c r="I33" s="33" t="str">
        <f aca="false">IF(OR(D33="",H33=""),"",IF(E33&lt;&gt;"",E33,D33)+H33)</f>
        <v/>
      </c>
      <c r="J33" s="11"/>
      <c r="K33" s="11"/>
    </row>
    <row r="34" customFormat="false" ht="15" hidden="false" customHeight="false" outlineLevel="0" collapsed="false">
      <c r="A34" s="11"/>
      <c r="B34" s="11"/>
      <c r="C34" s="11"/>
      <c r="D34" s="12"/>
      <c r="E34" s="12"/>
      <c r="F34" s="28"/>
      <c r="G34" s="20" t="str">
        <f aca="false">IF(D34="","",IF(E34&lt;&gt;"",IF(F34="Fail","Completed – failed","Completed"),IF(D34&lt;Dashboard!$C$5,"Missed",IF(D34-Dashboard!$C$5&lt;=Lists!$Q$2,"Due soon","Scheduled"))))</f>
        <v/>
      </c>
      <c r="H34" s="13"/>
      <c r="I34" s="33" t="str">
        <f aca="false">IF(OR(D34="",H34=""),"",IF(E34&lt;&gt;"",E34,D34)+H34)</f>
        <v/>
      </c>
      <c r="J34" s="11"/>
      <c r="K34" s="11"/>
    </row>
    <row r="35" customFormat="false" ht="15" hidden="false" customHeight="false" outlineLevel="0" collapsed="false">
      <c r="A35" s="11"/>
      <c r="B35" s="11"/>
      <c r="C35" s="11"/>
      <c r="D35" s="12"/>
      <c r="E35" s="12"/>
      <c r="F35" s="28"/>
      <c r="G35" s="20" t="str">
        <f aca="false">IF(D35="","",IF(E35&lt;&gt;"",IF(F35="Fail","Completed – failed","Completed"),IF(D35&lt;Dashboard!$C$5,"Missed",IF(D35-Dashboard!$C$5&lt;=Lists!$Q$2,"Due soon","Scheduled"))))</f>
        <v/>
      </c>
      <c r="H35" s="13"/>
      <c r="I35" s="33" t="str">
        <f aca="false">IF(OR(D35="",H35=""),"",IF(E35&lt;&gt;"",E35,D35)+H35)</f>
        <v/>
      </c>
      <c r="J35" s="11"/>
      <c r="K35" s="11"/>
    </row>
    <row r="36" customFormat="false" ht="15" hidden="false" customHeight="false" outlineLevel="0" collapsed="false">
      <c r="A36" s="11"/>
      <c r="B36" s="11"/>
      <c r="C36" s="11"/>
      <c r="D36" s="12"/>
      <c r="E36" s="12"/>
      <c r="F36" s="28"/>
      <c r="G36" s="20" t="str">
        <f aca="false">IF(D36="","",IF(E36&lt;&gt;"",IF(F36="Fail","Completed – failed","Completed"),IF(D36&lt;Dashboard!$C$5,"Missed",IF(D36-Dashboard!$C$5&lt;=Lists!$Q$2,"Due soon","Scheduled"))))</f>
        <v/>
      </c>
      <c r="H36" s="13"/>
      <c r="I36" s="33" t="str">
        <f aca="false">IF(OR(D36="",H36=""),"",IF(E36&lt;&gt;"",E36,D36)+H36)</f>
        <v/>
      </c>
      <c r="J36" s="11"/>
      <c r="K36" s="11"/>
    </row>
    <row r="37" customFormat="false" ht="15" hidden="false" customHeight="false" outlineLevel="0" collapsed="false">
      <c r="A37" s="11"/>
      <c r="B37" s="11"/>
      <c r="C37" s="11"/>
      <c r="D37" s="12"/>
      <c r="E37" s="12"/>
      <c r="F37" s="28"/>
      <c r="G37" s="20" t="str">
        <f aca="false">IF(D37="","",IF(E37&lt;&gt;"",IF(F37="Fail","Completed – failed","Completed"),IF(D37&lt;Dashboard!$C$5,"Missed",IF(D37-Dashboard!$C$5&lt;=Lists!$Q$2,"Due soon","Scheduled"))))</f>
        <v/>
      </c>
      <c r="H37" s="13"/>
      <c r="I37" s="33" t="str">
        <f aca="false">IF(OR(D37="",H37=""),"",IF(E37&lt;&gt;"",E37,D37)+H37)</f>
        <v/>
      </c>
      <c r="J37" s="11"/>
      <c r="K37" s="11"/>
    </row>
    <row r="38" customFormat="false" ht="15" hidden="false" customHeight="false" outlineLevel="0" collapsed="false">
      <c r="A38" s="11"/>
      <c r="B38" s="11"/>
      <c r="C38" s="11"/>
      <c r="D38" s="12"/>
      <c r="E38" s="12"/>
      <c r="F38" s="28"/>
      <c r="G38" s="20" t="str">
        <f aca="false">IF(D38="","",IF(E38&lt;&gt;"",IF(F38="Fail","Completed – failed","Completed"),IF(D38&lt;Dashboard!$C$5,"Missed",IF(D38-Dashboard!$C$5&lt;=Lists!$Q$2,"Due soon","Scheduled"))))</f>
        <v/>
      </c>
      <c r="H38" s="13"/>
      <c r="I38" s="33" t="str">
        <f aca="false">IF(OR(D38="",H38=""),"",IF(E38&lt;&gt;"",E38,D38)+H38)</f>
        <v/>
      </c>
      <c r="J38" s="11"/>
      <c r="K38" s="11"/>
    </row>
    <row r="39" customFormat="false" ht="15" hidden="false" customHeight="false" outlineLevel="0" collapsed="false">
      <c r="A39" s="11"/>
      <c r="B39" s="11"/>
      <c r="C39" s="11"/>
      <c r="D39" s="12"/>
      <c r="E39" s="12"/>
      <c r="F39" s="28"/>
      <c r="G39" s="20" t="str">
        <f aca="false">IF(D39="","",IF(E39&lt;&gt;"",IF(F39="Fail","Completed – failed","Completed"),IF(D39&lt;Dashboard!$C$5,"Missed",IF(D39-Dashboard!$C$5&lt;=Lists!$Q$2,"Due soon","Scheduled"))))</f>
        <v/>
      </c>
      <c r="H39" s="13"/>
      <c r="I39" s="33" t="str">
        <f aca="false">IF(OR(D39="",H39=""),"",IF(E39&lt;&gt;"",E39,D39)+H39)</f>
        <v/>
      </c>
      <c r="J39" s="11"/>
      <c r="K39" s="11"/>
    </row>
    <row r="40" customFormat="false" ht="15" hidden="false" customHeight="false" outlineLevel="0" collapsed="false">
      <c r="A40" s="11"/>
      <c r="B40" s="11"/>
      <c r="C40" s="11"/>
      <c r="D40" s="12"/>
      <c r="E40" s="12"/>
      <c r="F40" s="28"/>
      <c r="G40" s="20" t="str">
        <f aca="false">IF(D40="","",IF(E40&lt;&gt;"",IF(F40="Fail","Completed – failed","Completed"),IF(D40&lt;Dashboard!$C$5,"Missed",IF(D40-Dashboard!$C$5&lt;=Lists!$Q$2,"Due soon","Scheduled"))))</f>
        <v/>
      </c>
      <c r="H40" s="13"/>
      <c r="I40" s="33" t="str">
        <f aca="false">IF(OR(D40="",H40=""),"",IF(E40&lt;&gt;"",E40,D40)+H40)</f>
        <v/>
      </c>
      <c r="J40" s="11"/>
      <c r="K40" s="11"/>
    </row>
    <row r="41" customFormat="false" ht="15" hidden="false" customHeight="false" outlineLevel="0" collapsed="false">
      <c r="A41" s="11"/>
      <c r="B41" s="11"/>
      <c r="C41" s="11"/>
      <c r="D41" s="12"/>
      <c r="E41" s="12"/>
      <c r="F41" s="28"/>
      <c r="G41" s="20" t="str">
        <f aca="false">IF(D41="","",IF(E41&lt;&gt;"",IF(F41="Fail","Completed – failed","Completed"),IF(D41&lt;Dashboard!$C$5,"Missed",IF(D41-Dashboard!$C$5&lt;=Lists!$Q$2,"Due soon","Scheduled"))))</f>
        <v/>
      </c>
      <c r="H41" s="13"/>
      <c r="I41" s="33" t="str">
        <f aca="false">IF(OR(D41="",H41=""),"",IF(E41&lt;&gt;"",E41,D41)+H41)</f>
        <v/>
      </c>
      <c r="J41" s="11"/>
      <c r="K41" s="11"/>
    </row>
    <row r="42" customFormat="false" ht="15" hidden="false" customHeight="false" outlineLevel="0" collapsed="false">
      <c r="A42" s="11"/>
      <c r="B42" s="11"/>
      <c r="C42" s="11"/>
      <c r="D42" s="12"/>
      <c r="E42" s="12"/>
      <c r="F42" s="28"/>
      <c r="G42" s="20" t="str">
        <f aca="false">IF(D42="","",IF(E42&lt;&gt;"",IF(F42="Fail","Completed – failed","Completed"),IF(D42&lt;Dashboard!$C$5,"Missed",IF(D42-Dashboard!$C$5&lt;=Lists!$Q$2,"Due soon","Scheduled"))))</f>
        <v/>
      </c>
      <c r="H42" s="13"/>
      <c r="I42" s="33" t="str">
        <f aca="false">IF(OR(D42="",H42=""),"",IF(E42&lt;&gt;"",E42,D42)+H42)</f>
        <v/>
      </c>
      <c r="J42" s="11"/>
      <c r="K42" s="11"/>
    </row>
    <row r="43" customFormat="false" ht="15" hidden="false" customHeight="false" outlineLevel="0" collapsed="false">
      <c r="A43" s="11"/>
      <c r="B43" s="11"/>
      <c r="C43" s="11"/>
      <c r="D43" s="12"/>
      <c r="E43" s="12"/>
      <c r="F43" s="28"/>
      <c r="G43" s="20" t="str">
        <f aca="false">IF(D43="","",IF(E43&lt;&gt;"",IF(F43="Fail","Completed – failed","Completed"),IF(D43&lt;Dashboard!$C$5,"Missed",IF(D43-Dashboard!$C$5&lt;=Lists!$Q$2,"Due soon","Scheduled"))))</f>
        <v/>
      </c>
      <c r="H43" s="13"/>
      <c r="I43" s="33" t="str">
        <f aca="false">IF(OR(D43="",H43=""),"",IF(E43&lt;&gt;"",E43,D43)+H43)</f>
        <v/>
      </c>
      <c r="J43" s="11"/>
      <c r="K43" s="11"/>
    </row>
    <row r="44" customFormat="false" ht="15" hidden="false" customHeight="false" outlineLevel="0" collapsed="false">
      <c r="A44" s="11"/>
      <c r="B44" s="11"/>
      <c r="C44" s="11"/>
      <c r="D44" s="12"/>
      <c r="E44" s="12"/>
      <c r="F44" s="28"/>
      <c r="G44" s="20" t="str">
        <f aca="false">IF(D44="","",IF(E44&lt;&gt;"",IF(F44="Fail","Completed – failed","Completed"),IF(D44&lt;Dashboard!$C$5,"Missed",IF(D44-Dashboard!$C$5&lt;=Lists!$Q$2,"Due soon","Scheduled"))))</f>
        <v/>
      </c>
      <c r="H44" s="13"/>
      <c r="I44" s="33" t="str">
        <f aca="false">IF(OR(D44="",H44=""),"",IF(E44&lt;&gt;"",E44,D44)+H44)</f>
        <v/>
      </c>
      <c r="J44" s="11"/>
      <c r="K44" s="11"/>
    </row>
    <row r="45" customFormat="false" ht="15" hidden="false" customHeight="false" outlineLevel="0" collapsed="false">
      <c r="A45" s="11"/>
      <c r="B45" s="11"/>
      <c r="C45" s="11"/>
      <c r="D45" s="12"/>
      <c r="E45" s="12"/>
      <c r="F45" s="28"/>
      <c r="G45" s="20" t="str">
        <f aca="false">IF(D45="","",IF(E45&lt;&gt;"",IF(F45="Fail","Completed – failed","Completed"),IF(D45&lt;Dashboard!$C$5,"Missed",IF(D45-Dashboard!$C$5&lt;=Lists!$Q$2,"Due soon","Scheduled"))))</f>
        <v/>
      </c>
      <c r="H45" s="13"/>
      <c r="I45" s="33" t="str">
        <f aca="false">IF(OR(D45="",H45=""),"",IF(E45&lt;&gt;"",E45,D45)+H45)</f>
        <v/>
      </c>
      <c r="J45" s="11"/>
      <c r="K45" s="11"/>
    </row>
    <row r="46" customFormat="false" ht="15" hidden="false" customHeight="false" outlineLevel="0" collapsed="false">
      <c r="A46" s="11"/>
      <c r="B46" s="11"/>
      <c r="C46" s="11"/>
      <c r="D46" s="12"/>
      <c r="E46" s="12"/>
      <c r="F46" s="28"/>
      <c r="G46" s="20" t="str">
        <f aca="false">IF(D46="","",IF(E46&lt;&gt;"",IF(F46="Fail","Completed – failed","Completed"),IF(D46&lt;Dashboard!$C$5,"Missed",IF(D46-Dashboard!$C$5&lt;=Lists!$Q$2,"Due soon","Scheduled"))))</f>
        <v/>
      </c>
      <c r="H46" s="13"/>
      <c r="I46" s="33" t="str">
        <f aca="false">IF(OR(D46="",H46=""),"",IF(E46&lt;&gt;"",E46,D46)+H46)</f>
        <v/>
      </c>
      <c r="J46" s="11"/>
      <c r="K46" s="11"/>
    </row>
    <row r="47" customFormat="false" ht="15" hidden="false" customHeight="false" outlineLevel="0" collapsed="false">
      <c r="A47" s="11"/>
      <c r="B47" s="11"/>
      <c r="C47" s="11"/>
      <c r="D47" s="12"/>
      <c r="E47" s="12"/>
      <c r="F47" s="28"/>
      <c r="G47" s="20" t="str">
        <f aca="false">IF(D47="","",IF(E47&lt;&gt;"",IF(F47="Fail","Completed – failed","Completed"),IF(D47&lt;Dashboard!$C$5,"Missed",IF(D47-Dashboard!$C$5&lt;=Lists!$Q$2,"Due soon","Scheduled"))))</f>
        <v/>
      </c>
      <c r="H47" s="13"/>
      <c r="I47" s="33" t="str">
        <f aca="false">IF(OR(D47="",H47=""),"",IF(E47&lt;&gt;"",E47,D47)+H47)</f>
        <v/>
      </c>
      <c r="J47" s="11"/>
      <c r="K47" s="11"/>
    </row>
    <row r="48" customFormat="false" ht="15" hidden="false" customHeight="false" outlineLevel="0" collapsed="false">
      <c r="A48" s="11"/>
      <c r="B48" s="11"/>
      <c r="C48" s="11"/>
      <c r="D48" s="12"/>
      <c r="E48" s="12"/>
      <c r="F48" s="28"/>
      <c r="G48" s="20" t="str">
        <f aca="false">IF(D48="","",IF(E48&lt;&gt;"",IF(F48="Fail","Completed – failed","Completed"),IF(D48&lt;Dashboard!$C$5,"Missed",IF(D48-Dashboard!$C$5&lt;=Lists!$Q$2,"Due soon","Scheduled"))))</f>
        <v/>
      </c>
      <c r="H48" s="13"/>
      <c r="I48" s="33" t="str">
        <f aca="false">IF(OR(D48="",H48=""),"",IF(E48&lt;&gt;"",E48,D48)+H48)</f>
        <v/>
      </c>
      <c r="J48" s="11"/>
      <c r="K48" s="11"/>
    </row>
    <row r="49" customFormat="false" ht="15" hidden="false" customHeight="false" outlineLevel="0" collapsed="false">
      <c r="A49" s="11"/>
      <c r="B49" s="11"/>
      <c r="C49" s="11"/>
      <c r="D49" s="12"/>
      <c r="E49" s="12"/>
      <c r="F49" s="28"/>
      <c r="G49" s="20" t="str">
        <f aca="false">IF(D49="","",IF(E49&lt;&gt;"",IF(F49="Fail","Completed – failed","Completed"),IF(D49&lt;Dashboard!$C$5,"Missed",IF(D49-Dashboard!$C$5&lt;=Lists!$Q$2,"Due soon","Scheduled"))))</f>
        <v/>
      </c>
      <c r="H49" s="13"/>
      <c r="I49" s="33" t="str">
        <f aca="false">IF(OR(D49="",H49=""),"",IF(E49&lt;&gt;"",E49,D49)+H49)</f>
        <v/>
      </c>
      <c r="J49" s="11"/>
      <c r="K49" s="11"/>
    </row>
    <row r="50" customFormat="false" ht="15" hidden="false" customHeight="false" outlineLevel="0" collapsed="false">
      <c r="A50" s="11"/>
      <c r="B50" s="11"/>
      <c r="C50" s="11"/>
      <c r="D50" s="12"/>
      <c r="E50" s="12"/>
      <c r="F50" s="28"/>
      <c r="G50" s="20" t="str">
        <f aca="false">IF(D50="","",IF(E50&lt;&gt;"",IF(F50="Fail","Completed – failed","Completed"),IF(D50&lt;Dashboard!$C$5,"Missed",IF(D50-Dashboard!$C$5&lt;=Lists!$Q$2,"Due soon","Scheduled"))))</f>
        <v/>
      </c>
      <c r="H50" s="13"/>
      <c r="I50" s="33" t="str">
        <f aca="false">IF(OR(D50="",H50=""),"",IF(E50&lt;&gt;"",E50,D50)+H50)</f>
        <v/>
      </c>
      <c r="J50" s="11"/>
      <c r="K50" s="11"/>
    </row>
    <row r="51" customFormat="false" ht="15" hidden="false" customHeight="false" outlineLevel="0" collapsed="false">
      <c r="A51" s="11"/>
      <c r="B51" s="11"/>
      <c r="C51" s="11"/>
      <c r="D51" s="12"/>
      <c r="E51" s="12"/>
      <c r="F51" s="28"/>
      <c r="G51" s="20" t="str">
        <f aca="false">IF(D51="","",IF(E51&lt;&gt;"",IF(F51="Fail","Completed – failed","Completed"),IF(D51&lt;Dashboard!$C$5,"Missed",IF(D51-Dashboard!$C$5&lt;=Lists!$Q$2,"Due soon","Scheduled"))))</f>
        <v/>
      </c>
      <c r="H51" s="13"/>
      <c r="I51" s="33" t="str">
        <f aca="false">IF(OR(D51="",H51=""),"",IF(E51&lt;&gt;"",E51,D51)+H51)</f>
        <v/>
      </c>
      <c r="J51" s="11"/>
      <c r="K51" s="11"/>
    </row>
    <row r="52" customFormat="false" ht="15" hidden="false" customHeight="false" outlineLevel="0" collapsed="false">
      <c r="A52" s="11"/>
      <c r="B52" s="11"/>
      <c r="C52" s="11"/>
      <c r="D52" s="12"/>
      <c r="E52" s="12"/>
      <c r="F52" s="28"/>
      <c r="G52" s="20" t="str">
        <f aca="false">IF(D52="","",IF(E52&lt;&gt;"",IF(F52="Fail","Completed – failed","Completed"),IF(D52&lt;Dashboard!$C$5,"Missed",IF(D52-Dashboard!$C$5&lt;=Lists!$Q$2,"Due soon","Scheduled"))))</f>
        <v/>
      </c>
      <c r="H52" s="13"/>
      <c r="I52" s="33" t="str">
        <f aca="false">IF(OR(D52="",H52=""),"",IF(E52&lt;&gt;"",E52,D52)+H52)</f>
        <v/>
      </c>
      <c r="J52" s="11"/>
      <c r="K52" s="11"/>
    </row>
    <row r="53" customFormat="false" ht="15" hidden="false" customHeight="false" outlineLevel="0" collapsed="false">
      <c r="A53" s="11"/>
      <c r="B53" s="11"/>
      <c r="C53" s="11"/>
      <c r="D53" s="12"/>
      <c r="E53" s="12"/>
      <c r="F53" s="28"/>
      <c r="G53" s="20" t="str">
        <f aca="false">IF(D53="","",IF(E53&lt;&gt;"",IF(F53="Fail","Completed – failed","Completed"),IF(D53&lt;Dashboard!$C$5,"Missed",IF(D53-Dashboard!$C$5&lt;=Lists!$Q$2,"Due soon","Scheduled"))))</f>
        <v/>
      </c>
      <c r="H53" s="13"/>
      <c r="I53" s="33" t="str">
        <f aca="false">IF(OR(D53="",H53=""),"",IF(E53&lt;&gt;"",E53,D53)+H53)</f>
        <v/>
      </c>
      <c r="J53" s="11"/>
      <c r="K53" s="11"/>
    </row>
    <row r="54" customFormat="false" ht="15" hidden="false" customHeight="false" outlineLevel="0" collapsed="false">
      <c r="A54" s="11"/>
      <c r="B54" s="11"/>
      <c r="C54" s="11"/>
      <c r="D54" s="12"/>
      <c r="E54" s="12"/>
      <c r="F54" s="28"/>
      <c r="G54" s="20" t="str">
        <f aca="false">IF(D54="","",IF(E54&lt;&gt;"",IF(F54="Fail","Completed – failed","Completed"),IF(D54&lt;Dashboard!$C$5,"Missed",IF(D54-Dashboard!$C$5&lt;=Lists!$Q$2,"Due soon","Scheduled"))))</f>
        <v/>
      </c>
      <c r="H54" s="13"/>
      <c r="I54" s="33" t="str">
        <f aca="false">IF(OR(D54="",H54=""),"",IF(E54&lt;&gt;"",E54,D54)+H54)</f>
        <v/>
      </c>
      <c r="J54" s="11"/>
      <c r="K54" s="11"/>
    </row>
    <row r="55" customFormat="false" ht="15" hidden="false" customHeight="false" outlineLevel="0" collapsed="false">
      <c r="A55" s="11"/>
      <c r="B55" s="11"/>
      <c r="C55" s="11"/>
      <c r="D55" s="12"/>
      <c r="E55" s="12"/>
      <c r="F55" s="28"/>
      <c r="G55" s="20" t="str">
        <f aca="false">IF(D55="","",IF(E55&lt;&gt;"",IF(F55="Fail","Completed – failed","Completed"),IF(D55&lt;Dashboard!$C$5,"Missed",IF(D55-Dashboard!$C$5&lt;=Lists!$Q$2,"Due soon","Scheduled"))))</f>
        <v/>
      </c>
      <c r="H55" s="13"/>
      <c r="I55" s="33" t="str">
        <f aca="false">IF(OR(D55="",H55=""),"",IF(E55&lt;&gt;"",E55,D55)+H55)</f>
        <v/>
      </c>
      <c r="J55" s="11"/>
      <c r="K55" s="11"/>
    </row>
    <row r="56" customFormat="false" ht="15" hidden="false" customHeight="false" outlineLevel="0" collapsed="false">
      <c r="A56" s="11"/>
      <c r="B56" s="11"/>
      <c r="C56" s="11"/>
      <c r="D56" s="12"/>
      <c r="E56" s="12"/>
      <c r="F56" s="28"/>
      <c r="G56" s="20" t="str">
        <f aca="false">IF(D56="","",IF(E56&lt;&gt;"",IF(F56="Fail","Completed – failed","Completed"),IF(D56&lt;Dashboard!$C$5,"Missed",IF(D56-Dashboard!$C$5&lt;=Lists!$Q$2,"Due soon","Scheduled"))))</f>
        <v/>
      </c>
      <c r="H56" s="13"/>
      <c r="I56" s="33" t="str">
        <f aca="false">IF(OR(D56="",H56=""),"",IF(E56&lt;&gt;"",E56,D56)+H56)</f>
        <v/>
      </c>
      <c r="J56" s="11"/>
      <c r="K56" s="11"/>
    </row>
    <row r="57" customFormat="false" ht="15" hidden="false" customHeight="false" outlineLevel="0" collapsed="false">
      <c r="A57" s="11"/>
      <c r="B57" s="11"/>
      <c r="C57" s="11"/>
      <c r="D57" s="12"/>
      <c r="E57" s="12"/>
      <c r="F57" s="28"/>
      <c r="G57" s="20" t="str">
        <f aca="false">IF(D57="","",IF(E57&lt;&gt;"",IF(F57="Fail","Completed – failed","Completed"),IF(D57&lt;Dashboard!$C$5,"Missed",IF(D57-Dashboard!$C$5&lt;=Lists!$Q$2,"Due soon","Scheduled"))))</f>
        <v/>
      </c>
      <c r="H57" s="13"/>
      <c r="I57" s="33" t="str">
        <f aca="false">IF(OR(D57="",H57=""),"",IF(E57&lt;&gt;"",E57,D57)+H57)</f>
        <v/>
      </c>
      <c r="J57" s="11"/>
      <c r="K57" s="11"/>
    </row>
    <row r="58" customFormat="false" ht="15" hidden="false" customHeight="false" outlineLevel="0" collapsed="false">
      <c r="A58" s="11"/>
      <c r="B58" s="11"/>
      <c r="C58" s="11"/>
      <c r="D58" s="12"/>
      <c r="E58" s="12"/>
      <c r="F58" s="28"/>
      <c r="G58" s="20" t="str">
        <f aca="false">IF(D58="","",IF(E58&lt;&gt;"",IF(F58="Fail","Completed – failed","Completed"),IF(D58&lt;Dashboard!$C$5,"Missed",IF(D58-Dashboard!$C$5&lt;=Lists!$Q$2,"Due soon","Scheduled"))))</f>
        <v/>
      </c>
      <c r="H58" s="13"/>
      <c r="I58" s="33" t="str">
        <f aca="false">IF(OR(D58="",H58=""),"",IF(E58&lt;&gt;"",E58,D58)+H58)</f>
        <v/>
      </c>
      <c r="J58" s="11"/>
      <c r="K58" s="11"/>
    </row>
    <row r="59" customFormat="false" ht="15" hidden="false" customHeight="false" outlineLevel="0" collapsed="false">
      <c r="A59" s="11"/>
      <c r="B59" s="11"/>
      <c r="C59" s="11"/>
      <c r="D59" s="12"/>
      <c r="E59" s="12"/>
      <c r="F59" s="28"/>
      <c r="G59" s="20" t="str">
        <f aca="false">IF(D59="","",IF(E59&lt;&gt;"",IF(F59="Fail","Completed – failed","Completed"),IF(D59&lt;Dashboard!$C$5,"Missed",IF(D59-Dashboard!$C$5&lt;=Lists!$Q$2,"Due soon","Scheduled"))))</f>
        <v/>
      </c>
      <c r="H59" s="13"/>
      <c r="I59" s="33" t="str">
        <f aca="false">IF(OR(D59="",H59=""),"",IF(E59&lt;&gt;"",E59,D59)+H59)</f>
        <v/>
      </c>
      <c r="J59" s="11"/>
      <c r="K59" s="11"/>
    </row>
    <row r="60" customFormat="false" ht="15" hidden="false" customHeight="false" outlineLevel="0" collapsed="false">
      <c r="A60" s="11"/>
      <c r="B60" s="11"/>
      <c r="C60" s="11"/>
      <c r="D60" s="12"/>
      <c r="E60" s="12"/>
      <c r="F60" s="28"/>
      <c r="G60" s="20" t="str">
        <f aca="false">IF(D60="","",IF(E60&lt;&gt;"",IF(F60="Fail","Completed – failed","Completed"),IF(D60&lt;Dashboard!$C$5,"Missed",IF(D60-Dashboard!$C$5&lt;=Lists!$Q$2,"Due soon","Scheduled"))))</f>
        <v/>
      </c>
      <c r="H60" s="13"/>
      <c r="I60" s="33" t="str">
        <f aca="false">IF(OR(D60="",H60=""),"",IF(E60&lt;&gt;"",E60,D60)+H60)</f>
        <v/>
      </c>
      <c r="J60" s="11"/>
      <c r="K60" s="11"/>
    </row>
    <row r="61" customFormat="false" ht="15" hidden="false" customHeight="false" outlineLevel="0" collapsed="false">
      <c r="A61" s="11"/>
      <c r="B61" s="11"/>
      <c r="C61" s="11"/>
      <c r="D61" s="12"/>
      <c r="E61" s="12"/>
      <c r="F61" s="28"/>
      <c r="G61" s="20" t="str">
        <f aca="false">IF(D61="","",IF(E61&lt;&gt;"",IF(F61="Fail","Completed – failed","Completed"),IF(D61&lt;Dashboard!$C$5,"Missed",IF(D61-Dashboard!$C$5&lt;=Lists!$Q$2,"Due soon","Scheduled"))))</f>
        <v/>
      </c>
      <c r="H61" s="13"/>
      <c r="I61" s="33" t="str">
        <f aca="false">IF(OR(D61="",H61=""),"",IF(E61&lt;&gt;"",E61,D61)+H61)</f>
        <v/>
      </c>
      <c r="J61" s="11"/>
      <c r="K61" s="11"/>
    </row>
    <row r="62" customFormat="false" ht="15" hidden="false" customHeight="false" outlineLevel="0" collapsed="false">
      <c r="A62" s="11"/>
      <c r="B62" s="11"/>
      <c r="C62" s="11"/>
      <c r="D62" s="12"/>
      <c r="E62" s="12"/>
      <c r="F62" s="28"/>
      <c r="G62" s="20" t="str">
        <f aca="false">IF(D62="","",IF(E62&lt;&gt;"",IF(F62="Fail","Completed – failed","Completed"),IF(D62&lt;Dashboard!$C$5,"Missed",IF(D62-Dashboard!$C$5&lt;=Lists!$Q$2,"Due soon","Scheduled"))))</f>
        <v/>
      </c>
      <c r="H62" s="13"/>
      <c r="I62" s="33" t="str">
        <f aca="false">IF(OR(D62="",H62=""),"",IF(E62&lt;&gt;"",E62,D62)+H62)</f>
        <v/>
      </c>
      <c r="J62" s="11"/>
      <c r="K62" s="11"/>
    </row>
    <row r="63" customFormat="false" ht="15" hidden="false" customHeight="false" outlineLevel="0" collapsed="false">
      <c r="A63" s="11"/>
      <c r="B63" s="11"/>
      <c r="C63" s="11"/>
      <c r="D63" s="12"/>
      <c r="E63" s="12"/>
      <c r="F63" s="28"/>
      <c r="G63" s="20" t="str">
        <f aca="false">IF(D63="","",IF(E63&lt;&gt;"",IF(F63="Fail","Completed – failed","Completed"),IF(D63&lt;Dashboard!$C$5,"Missed",IF(D63-Dashboard!$C$5&lt;=Lists!$Q$2,"Due soon","Scheduled"))))</f>
        <v/>
      </c>
      <c r="H63" s="13"/>
      <c r="I63" s="33" t="str">
        <f aca="false">IF(OR(D63="",H63=""),"",IF(E63&lt;&gt;"",E63,D63)+H63)</f>
        <v/>
      </c>
      <c r="J63" s="11"/>
      <c r="K63" s="11"/>
    </row>
    <row r="64" customFormat="false" ht="15" hidden="false" customHeight="false" outlineLevel="0" collapsed="false">
      <c r="A64" s="11"/>
      <c r="B64" s="11"/>
      <c r="C64" s="11"/>
      <c r="D64" s="12"/>
      <c r="E64" s="12"/>
      <c r="F64" s="28"/>
      <c r="G64" s="20" t="str">
        <f aca="false">IF(D64="","",IF(E64&lt;&gt;"",IF(F64="Fail","Completed – failed","Completed"),IF(D64&lt;Dashboard!$C$5,"Missed",IF(D64-Dashboard!$C$5&lt;=Lists!$Q$2,"Due soon","Scheduled"))))</f>
        <v/>
      </c>
      <c r="H64" s="13"/>
      <c r="I64" s="33" t="str">
        <f aca="false">IF(OR(D64="",H64=""),"",IF(E64&lt;&gt;"",E64,D64)+H64)</f>
        <v/>
      </c>
      <c r="J64" s="11"/>
      <c r="K64" s="11"/>
    </row>
    <row r="65" customFormat="false" ht="15" hidden="false" customHeight="false" outlineLevel="0" collapsed="false">
      <c r="A65" s="11"/>
      <c r="B65" s="11"/>
      <c r="C65" s="11"/>
      <c r="D65" s="12"/>
      <c r="E65" s="12"/>
      <c r="F65" s="28"/>
      <c r="G65" s="20" t="str">
        <f aca="false">IF(D65="","",IF(E65&lt;&gt;"",IF(F65="Fail","Completed – failed","Completed"),IF(D65&lt;Dashboard!$C$5,"Missed",IF(D65-Dashboard!$C$5&lt;=Lists!$Q$2,"Due soon","Scheduled"))))</f>
        <v/>
      </c>
      <c r="H65" s="13"/>
      <c r="I65" s="33" t="str">
        <f aca="false">IF(OR(D65="",H65=""),"",IF(E65&lt;&gt;"",E65,D65)+H65)</f>
        <v/>
      </c>
      <c r="J65" s="11"/>
      <c r="K65" s="11"/>
    </row>
    <row r="66" customFormat="false" ht="15" hidden="false" customHeight="false" outlineLevel="0" collapsed="false">
      <c r="A66" s="11"/>
      <c r="B66" s="11"/>
      <c r="C66" s="11"/>
      <c r="D66" s="12"/>
      <c r="E66" s="12"/>
      <c r="F66" s="28"/>
      <c r="G66" s="20" t="str">
        <f aca="false">IF(D66="","",IF(E66&lt;&gt;"",IF(F66="Fail","Completed – failed","Completed"),IF(D66&lt;Dashboard!$C$5,"Missed",IF(D66-Dashboard!$C$5&lt;=Lists!$Q$2,"Due soon","Scheduled"))))</f>
        <v/>
      </c>
      <c r="H66" s="13"/>
      <c r="I66" s="33" t="str">
        <f aca="false">IF(OR(D66="",H66=""),"",IF(E66&lt;&gt;"",E66,D66)+H66)</f>
        <v/>
      </c>
      <c r="J66" s="11"/>
      <c r="K66" s="11"/>
    </row>
    <row r="67" customFormat="false" ht="15" hidden="false" customHeight="false" outlineLevel="0" collapsed="false">
      <c r="A67" s="11"/>
      <c r="B67" s="11"/>
      <c r="C67" s="11"/>
      <c r="D67" s="12"/>
      <c r="E67" s="12"/>
      <c r="F67" s="28"/>
      <c r="G67" s="20" t="str">
        <f aca="false">IF(D67="","",IF(E67&lt;&gt;"",IF(F67="Fail","Completed – failed","Completed"),IF(D67&lt;Dashboard!$C$5,"Missed",IF(D67-Dashboard!$C$5&lt;=Lists!$Q$2,"Due soon","Scheduled"))))</f>
        <v/>
      </c>
      <c r="H67" s="13"/>
      <c r="I67" s="33" t="str">
        <f aca="false">IF(OR(D67="",H67=""),"",IF(E67&lt;&gt;"",E67,D67)+H67)</f>
        <v/>
      </c>
      <c r="J67" s="11"/>
      <c r="K67" s="11"/>
    </row>
    <row r="68" customFormat="false" ht="15" hidden="false" customHeight="false" outlineLevel="0" collapsed="false">
      <c r="A68" s="11"/>
      <c r="B68" s="11"/>
      <c r="C68" s="11"/>
      <c r="D68" s="12"/>
      <c r="E68" s="12"/>
      <c r="F68" s="28"/>
      <c r="G68" s="20" t="str">
        <f aca="false">IF(D68="","",IF(E68&lt;&gt;"",IF(F68="Fail","Completed – failed","Completed"),IF(D68&lt;Dashboard!$C$5,"Missed",IF(D68-Dashboard!$C$5&lt;=Lists!$Q$2,"Due soon","Scheduled"))))</f>
        <v/>
      </c>
      <c r="H68" s="13"/>
      <c r="I68" s="33" t="str">
        <f aca="false">IF(OR(D68="",H68=""),"",IF(E68&lt;&gt;"",E68,D68)+H68)</f>
        <v/>
      </c>
      <c r="J68" s="11"/>
      <c r="K68" s="11"/>
    </row>
    <row r="69" customFormat="false" ht="15" hidden="false" customHeight="false" outlineLevel="0" collapsed="false">
      <c r="A69" s="11"/>
      <c r="B69" s="11"/>
      <c r="C69" s="11"/>
      <c r="D69" s="12"/>
      <c r="E69" s="12"/>
      <c r="F69" s="28"/>
      <c r="G69" s="20" t="str">
        <f aca="false">IF(D69="","",IF(E69&lt;&gt;"",IF(F69="Fail","Completed – failed","Completed"),IF(D69&lt;Dashboard!$C$5,"Missed",IF(D69-Dashboard!$C$5&lt;=Lists!$Q$2,"Due soon","Scheduled"))))</f>
        <v/>
      </c>
      <c r="H69" s="13"/>
      <c r="I69" s="33" t="str">
        <f aca="false">IF(OR(D69="",H69=""),"",IF(E69&lt;&gt;"",E69,D69)+H69)</f>
        <v/>
      </c>
      <c r="J69" s="11"/>
      <c r="K69" s="11"/>
    </row>
    <row r="70" customFormat="false" ht="15" hidden="false" customHeight="false" outlineLevel="0" collapsed="false">
      <c r="A70" s="11"/>
      <c r="B70" s="11"/>
      <c r="C70" s="11"/>
      <c r="D70" s="12"/>
      <c r="E70" s="12"/>
      <c r="F70" s="28"/>
      <c r="G70" s="20" t="str">
        <f aca="false">IF(D70="","",IF(E70&lt;&gt;"",IF(F70="Fail","Completed – failed","Completed"),IF(D70&lt;Dashboard!$C$5,"Missed",IF(D70-Dashboard!$C$5&lt;=Lists!$Q$2,"Due soon","Scheduled"))))</f>
        <v/>
      </c>
      <c r="H70" s="13"/>
      <c r="I70" s="33" t="str">
        <f aca="false">IF(OR(D70="",H70=""),"",IF(E70&lt;&gt;"",E70,D70)+H70)</f>
        <v/>
      </c>
      <c r="J70" s="11"/>
      <c r="K70" s="11"/>
    </row>
    <row r="71" customFormat="false" ht="15" hidden="false" customHeight="false" outlineLevel="0" collapsed="false">
      <c r="A71" s="11"/>
      <c r="B71" s="11"/>
      <c r="C71" s="11"/>
      <c r="D71" s="12"/>
      <c r="E71" s="12"/>
      <c r="F71" s="28"/>
      <c r="G71" s="20" t="str">
        <f aca="false">IF(D71="","",IF(E71&lt;&gt;"",IF(F71="Fail","Completed – failed","Completed"),IF(D71&lt;Dashboard!$C$5,"Missed",IF(D71-Dashboard!$C$5&lt;=Lists!$Q$2,"Due soon","Scheduled"))))</f>
        <v/>
      </c>
      <c r="H71" s="13"/>
      <c r="I71" s="33" t="str">
        <f aca="false">IF(OR(D71="",H71=""),"",IF(E71&lt;&gt;"",E71,D71)+H71)</f>
        <v/>
      </c>
      <c r="J71" s="11"/>
      <c r="K71" s="11"/>
    </row>
    <row r="72" customFormat="false" ht="15" hidden="false" customHeight="false" outlineLevel="0" collapsed="false">
      <c r="A72" s="11"/>
      <c r="B72" s="11"/>
      <c r="C72" s="11"/>
      <c r="D72" s="12"/>
      <c r="E72" s="12"/>
      <c r="F72" s="28"/>
      <c r="G72" s="20" t="str">
        <f aca="false">IF(D72="","",IF(E72&lt;&gt;"",IF(F72="Fail","Completed – failed","Completed"),IF(D72&lt;Dashboard!$C$5,"Missed",IF(D72-Dashboard!$C$5&lt;=Lists!$Q$2,"Due soon","Scheduled"))))</f>
        <v/>
      </c>
      <c r="H72" s="13"/>
      <c r="I72" s="33" t="str">
        <f aca="false">IF(OR(D72="",H72=""),"",IF(E72&lt;&gt;"",E72,D72)+H72)</f>
        <v/>
      </c>
      <c r="J72" s="11"/>
      <c r="K72" s="11"/>
    </row>
    <row r="73" customFormat="false" ht="15" hidden="false" customHeight="false" outlineLevel="0" collapsed="false">
      <c r="A73" s="11"/>
      <c r="B73" s="11"/>
      <c r="C73" s="11"/>
      <c r="D73" s="12"/>
      <c r="E73" s="12"/>
      <c r="F73" s="28"/>
      <c r="G73" s="20" t="str">
        <f aca="false">IF(D73="","",IF(E73&lt;&gt;"",IF(F73="Fail","Completed – failed","Completed"),IF(D73&lt;Dashboard!$C$5,"Missed",IF(D73-Dashboard!$C$5&lt;=Lists!$Q$2,"Due soon","Scheduled"))))</f>
        <v/>
      </c>
      <c r="H73" s="13"/>
      <c r="I73" s="33" t="str">
        <f aca="false">IF(OR(D73="",H73=""),"",IF(E73&lt;&gt;"",E73,D73)+H73)</f>
        <v/>
      </c>
      <c r="J73" s="11"/>
      <c r="K73" s="11"/>
    </row>
    <row r="74" customFormat="false" ht="15" hidden="false" customHeight="false" outlineLevel="0" collapsed="false">
      <c r="A74" s="11"/>
      <c r="B74" s="11"/>
      <c r="C74" s="11"/>
      <c r="D74" s="12"/>
      <c r="E74" s="12"/>
      <c r="F74" s="28"/>
      <c r="G74" s="20" t="str">
        <f aca="false">IF(D74="","",IF(E74&lt;&gt;"",IF(F74="Fail","Completed – failed","Completed"),IF(D74&lt;Dashboard!$C$5,"Missed",IF(D74-Dashboard!$C$5&lt;=Lists!$Q$2,"Due soon","Scheduled"))))</f>
        <v/>
      </c>
      <c r="H74" s="13"/>
      <c r="I74" s="33" t="str">
        <f aca="false">IF(OR(D74="",H74=""),"",IF(E74&lt;&gt;"",E74,D74)+H74)</f>
        <v/>
      </c>
      <c r="J74" s="11"/>
      <c r="K74" s="11"/>
    </row>
    <row r="75" customFormat="false" ht="15" hidden="false" customHeight="false" outlineLevel="0" collapsed="false">
      <c r="A75" s="11"/>
      <c r="B75" s="11"/>
      <c r="C75" s="11"/>
      <c r="D75" s="12"/>
      <c r="E75" s="12"/>
      <c r="F75" s="28"/>
      <c r="G75" s="20" t="str">
        <f aca="false">IF(D75="","",IF(E75&lt;&gt;"",IF(F75="Fail","Completed – failed","Completed"),IF(D75&lt;Dashboard!$C$5,"Missed",IF(D75-Dashboard!$C$5&lt;=Lists!$Q$2,"Due soon","Scheduled"))))</f>
        <v/>
      </c>
      <c r="H75" s="13"/>
      <c r="I75" s="33" t="str">
        <f aca="false">IF(OR(D75="",H75=""),"",IF(E75&lt;&gt;"",E75,D75)+H75)</f>
        <v/>
      </c>
      <c r="J75" s="11"/>
      <c r="K75" s="11"/>
    </row>
    <row r="76" customFormat="false" ht="15" hidden="false" customHeight="false" outlineLevel="0" collapsed="false">
      <c r="A76" s="11"/>
      <c r="B76" s="11"/>
      <c r="C76" s="11"/>
      <c r="D76" s="12"/>
      <c r="E76" s="12"/>
      <c r="F76" s="28"/>
      <c r="G76" s="20" t="str">
        <f aca="false">IF(D76="","",IF(E76&lt;&gt;"",IF(F76="Fail","Completed – failed","Completed"),IF(D76&lt;Dashboard!$C$5,"Missed",IF(D76-Dashboard!$C$5&lt;=Lists!$Q$2,"Due soon","Scheduled"))))</f>
        <v/>
      </c>
      <c r="H76" s="13"/>
      <c r="I76" s="33" t="str">
        <f aca="false">IF(OR(D76="",H76=""),"",IF(E76&lt;&gt;"",E76,D76)+H76)</f>
        <v/>
      </c>
      <c r="J76" s="11"/>
      <c r="K76" s="11"/>
    </row>
    <row r="77" customFormat="false" ht="15" hidden="false" customHeight="false" outlineLevel="0" collapsed="false">
      <c r="A77" s="11"/>
      <c r="B77" s="11"/>
      <c r="C77" s="11"/>
      <c r="D77" s="12"/>
      <c r="E77" s="12"/>
      <c r="F77" s="28"/>
      <c r="G77" s="20" t="str">
        <f aca="false">IF(D77="","",IF(E77&lt;&gt;"",IF(F77="Fail","Completed – failed","Completed"),IF(D77&lt;Dashboard!$C$5,"Missed",IF(D77-Dashboard!$C$5&lt;=Lists!$Q$2,"Due soon","Scheduled"))))</f>
        <v/>
      </c>
      <c r="H77" s="13"/>
      <c r="I77" s="33" t="str">
        <f aca="false">IF(OR(D77="",H77=""),"",IF(E77&lt;&gt;"",E77,D77)+H77)</f>
        <v/>
      </c>
      <c r="J77" s="11"/>
      <c r="K77" s="11"/>
    </row>
    <row r="78" customFormat="false" ht="15" hidden="false" customHeight="false" outlineLevel="0" collapsed="false">
      <c r="A78" s="11"/>
      <c r="B78" s="11"/>
      <c r="C78" s="11"/>
      <c r="D78" s="12"/>
      <c r="E78" s="12"/>
      <c r="F78" s="28"/>
      <c r="G78" s="20" t="str">
        <f aca="false">IF(D78="","",IF(E78&lt;&gt;"",IF(F78="Fail","Completed – failed","Completed"),IF(D78&lt;Dashboard!$C$5,"Missed",IF(D78-Dashboard!$C$5&lt;=Lists!$Q$2,"Due soon","Scheduled"))))</f>
        <v/>
      </c>
      <c r="H78" s="13"/>
      <c r="I78" s="33" t="str">
        <f aca="false">IF(OR(D78="",H78=""),"",IF(E78&lt;&gt;"",E78,D78)+H78)</f>
        <v/>
      </c>
      <c r="J78" s="11"/>
      <c r="K78" s="11"/>
    </row>
    <row r="79" customFormat="false" ht="15" hidden="false" customHeight="false" outlineLevel="0" collapsed="false">
      <c r="A79" s="11"/>
      <c r="B79" s="11"/>
      <c r="C79" s="11"/>
      <c r="D79" s="12"/>
      <c r="E79" s="12"/>
      <c r="F79" s="28"/>
      <c r="G79" s="20" t="str">
        <f aca="false">IF(D79="","",IF(E79&lt;&gt;"",IF(F79="Fail","Completed – failed","Completed"),IF(D79&lt;Dashboard!$C$5,"Missed",IF(D79-Dashboard!$C$5&lt;=Lists!$Q$2,"Due soon","Scheduled"))))</f>
        <v/>
      </c>
      <c r="H79" s="13"/>
      <c r="I79" s="33" t="str">
        <f aca="false">IF(OR(D79="",H79=""),"",IF(E79&lt;&gt;"",E79,D79)+H79)</f>
        <v/>
      </c>
      <c r="J79" s="11"/>
      <c r="K79" s="11"/>
    </row>
    <row r="80" customFormat="false" ht="15" hidden="false" customHeight="false" outlineLevel="0" collapsed="false">
      <c r="A80" s="11"/>
      <c r="B80" s="11"/>
      <c r="C80" s="11"/>
      <c r="D80" s="12"/>
      <c r="E80" s="12"/>
      <c r="F80" s="28"/>
      <c r="G80" s="20" t="str">
        <f aca="false">IF(D80="","",IF(E80&lt;&gt;"",IF(F80="Fail","Completed – failed","Completed"),IF(D80&lt;Dashboard!$C$5,"Missed",IF(D80-Dashboard!$C$5&lt;=Lists!$Q$2,"Due soon","Scheduled"))))</f>
        <v/>
      </c>
      <c r="H80" s="13"/>
      <c r="I80" s="33" t="str">
        <f aca="false">IF(OR(D80="",H80=""),"",IF(E80&lt;&gt;"",E80,D80)+H80)</f>
        <v/>
      </c>
      <c r="J80" s="11"/>
      <c r="K80" s="11"/>
    </row>
    <row r="81" customFormat="false" ht="15" hidden="false" customHeight="false" outlineLevel="0" collapsed="false">
      <c r="A81" s="11"/>
      <c r="B81" s="11"/>
      <c r="C81" s="11"/>
      <c r="D81" s="12"/>
      <c r="E81" s="12"/>
      <c r="F81" s="28"/>
      <c r="G81" s="20" t="str">
        <f aca="false">IF(D81="","",IF(E81&lt;&gt;"",IF(F81="Fail","Completed – failed","Completed"),IF(D81&lt;Dashboard!$C$5,"Missed",IF(D81-Dashboard!$C$5&lt;=Lists!$Q$2,"Due soon","Scheduled"))))</f>
        <v/>
      </c>
      <c r="H81" s="13"/>
      <c r="I81" s="33" t="str">
        <f aca="false">IF(OR(D81="",H81=""),"",IF(E81&lt;&gt;"",E81,D81)+H81)</f>
        <v/>
      </c>
      <c r="J81" s="11"/>
      <c r="K81" s="11"/>
    </row>
    <row r="82" customFormat="false" ht="15" hidden="false" customHeight="false" outlineLevel="0" collapsed="false">
      <c r="A82" s="11"/>
      <c r="B82" s="11"/>
      <c r="C82" s="11"/>
      <c r="D82" s="12"/>
      <c r="E82" s="12"/>
      <c r="F82" s="28"/>
      <c r="G82" s="20" t="str">
        <f aca="false">IF(D82="","",IF(E82&lt;&gt;"",IF(F82="Fail","Completed – failed","Completed"),IF(D82&lt;Dashboard!$C$5,"Missed",IF(D82-Dashboard!$C$5&lt;=Lists!$Q$2,"Due soon","Scheduled"))))</f>
        <v/>
      </c>
      <c r="H82" s="13"/>
      <c r="I82" s="33" t="str">
        <f aca="false">IF(OR(D82="",H82=""),"",IF(E82&lt;&gt;"",E82,D82)+H82)</f>
        <v/>
      </c>
      <c r="J82" s="11"/>
      <c r="K82" s="11"/>
    </row>
    <row r="83" customFormat="false" ht="15" hidden="false" customHeight="false" outlineLevel="0" collapsed="false">
      <c r="A83" s="11"/>
      <c r="B83" s="11"/>
      <c r="C83" s="11"/>
      <c r="D83" s="12"/>
      <c r="E83" s="12"/>
      <c r="F83" s="28"/>
      <c r="G83" s="20" t="str">
        <f aca="false">IF(D83="","",IF(E83&lt;&gt;"",IF(F83="Fail","Completed – failed","Completed"),IF(D83&lt;Dashboard!$C$5,"Missed",IF(D83-Dashboard!$C$5&lt;=Lists!$Q$2,"Due soon","Scheduled"))))</f>
        <v/>
      </c>
      <c r="H83" s="13"/>
      <c r="I83" s="33" t="str">
        <f aca="false">IF(OR(D83="",H83=""),"",IF(E83&lt;&gt;"",E83,D83)+H83)</f>
        <v/>
      </c>
      <c r="J83" s="11"/>
      <c r="K83" s="11"/>
    </row>
    <row r="84" customFormat="false" ht="15" hidden="false" customHeight="false" outlineLevel="0" collapsed="false">
      <c r="A84" s="11"/>
      <c r="B84" s="11"/>
      <c r="C84" s="11"/>
      <c r="D84" s="12"/>
      <c r="E84" s="12"/>
      <c r="F84" s="28"/>
      <c r="G84" s="20" t="str">
        <f aca="false">IF(D84="","",IF(E84&lt;&gt;"",IF(F84="Fail","Completed – failed","Completed"),IF(D84&lt;Dashboard!$C$5,"Missed",IF(D84-Dashboard!$C$5&lt;=Lists!$Q$2,"Due soon","Scheduled"))))</f>
        <v/>
      </c>
      <c r="H84" s="13"/>
      <c r="I84" s="33" t="str">
        <f aca="false">IF(OR(D84="",H84=""),"",IF(E84&lt;&gt;"",E84,D84)+H84)</f>
        <v/>
      </c>
      <c r="J84" s="11"/>
      <c r="K84" s="11"/>
    </row>
    <row r="85" customFormat="false" ht="15" hidden="false" customHeight="false" outlineLevel="0" collapsed="false">
      <c r="A85" s="11"/>
      <c r="B85" s="11"/>
      <c r="C85" s="11"/>
      <c r="D85" s="12"/>
      <c r="E85" s="12"/>
      <c r="F85" s="28"/>
      <c r="G85" s="20" t="str">
        <f aca="false">IF(D85="","",IF(E85&lt;&gt;"",IF(F85="Fail","Completed – failed","Completed"),IF(D85&lt;Dashboard!$C$5,"Missed",IF(D85-Dashboard!$C$5&lt;=Lists!$Q$2,"Due soon","Scheduled"))))</f>
        <v/>
      </c>
      <c r="H85" s="13"/>
      <c r="I85" s="33" t="str">
        <f aca="false">IF(OR(D85="",H85=""),"",IF(E85&lt;&gt;"",E85,D85)+H85)</f>
        <v/>
      </c>
      <c r="J85" s="11"/>
      <c r="K85" s="11"/>
    </row>
    <row r="86" customFormat="false" ht="15" hidden="false" customHeight="false" outlineLevel="0" collapsed="false">
      <c r="A86" s="11"/>
      <c r="B86" s="11"/>
      <c r="C86" s="11"/>
      <c r="D86" s="12"/>
      <c r="E86" s="12"/>
      <c r="F86" s="28"/>
      <c r="G86" s="20" t="str">
        <f aca="false">IF(D86="","",IF(E86&lt;&gt;"",IF(F86="Fail","Completed – failed","Completed"),IF(D86&lt;Dashboard!$C$5,"Missed",IF(D86-Dashboard!$C$5&lt;=Lists!$Q$2,"Due soon","Scheduled"))))</f>
        <v/>
      </c>
      <c r="H86" s="13"/>
      <c r="I86" s="33" t="str">
        <f aca="false">IF(OR(D86="",H86=""),"",IF(E86&lt;&gt;"",E86,D86)+H86)</f>
        <v/>
      </c>
      <c r="J86" s="11"/>
      <c r="K86" s="11"/>
    </row>
    <row r="87" customFormat="false" ht="15" hidden="false" customHeight="false" outlineLevel="0" collapsed="false">
      <c r="A87" s="11"/>
      <c r="B87" s="11"/>
      <c r="C87" s="11"/>
      <c r="D87" s="12"/>
      <c r="E87" s="12"/>
      <c r="F87" s="28"/>
      <c r="G87" s="20" t="str">
        <f aca="false">IF(D87="","",IF(E87&lt;&gt;"",IF(F87="Fail","Completed – failed","Completed"),IF(D87&lt;Dashboard!$C$5,"Missed",IF(D87-Dashboard!$C$5&lt;=Lists!$Q$2,"Due soon","Scheduled"))))</f>
        <v/>
      </c>
      <c r="H87" s="13"/>
      <c r="I87" s="33" t="str">
        <f aca="false">IF(OR(D87="",H87=""),"",IF(E87&lt;&gt;"",E87,D87)+H87)</f>
        <v/>
      </c>
      <c r="J87" s="11"/>
      <c r="K87" s="11"/>
    </row>
    <row r="88" customFormat="false" ht="15" hidden="false" customHeight="false" outlineLevel="0" collapsed="false">
      <c r="A88" s="11"/>
      <c r="B88" s="11"/>
      <c r="C88" s="11"/>
      <c r="D88" s="12"/>
      <c r="E88" s="12"/>
      <c r="F88" s="28"/>
      <c r="G88" s="20" t="str">
        <f aca="false">IF(D88="","",IF(E88&lt;&gt;"",IF(F88="Fail","Completed – failed","Completed"),IF(D88&lt;Dashboard!$C$5,"Missed",IF(D88-Dashboard!$C$5&lt;=Lists!$Q$2,"Due soon","Scheduled"))))</f>
        <v/>
      </c>
      <c r="H88" s="13"/>
      <c r="I88" s="33" t="str">
        <f aca="false">IF(OR(D88="",H88=""),"",IF(E88&lt;&gt;"",E88,D88)+H88)</f>
        <v/>
      </c>
      <c r="J88" s="11"/>
      <c r="K88" s="11"/>
    </row>
    <row r="89" customFormat="false" ht="15" hidden="false" customHeight="false" outlineLevel="0" collapsed="false">
      <c r="A89" s="11"/>
      <c r="B89" s="11"/>
      <c r="C89" s="11"/>
      <c r="D89" s="12"/>
      <c r="E89" s="12"/>
      <c r="F89" s="28"/>
      <c r="G89" s="20" t="str">
        <f aca="false">IF(D89="","",IF(E89&lt;&gt;"",IF(F89="Fail","Completed – failed","Completed"),IF(D89&lt;Dashboard!$C$5,"Missed",IF(D89-Dashboard!$C$5&lt;=Lists!$Q$2,"Due soon","Scheduled"))))</f>
        <v/>
      </c>
      <c r="H89" s="13"/>
      <c r="I89" s="33" t="str">
        <f aca="false">IF(OR(D89="",H89=""),"",IF(E89&lt;&gt;"",E89,D89)+H89)</f>
        <v/>
      </c>
      <c r="J89" s="11"/>
      <c r="K89" s="11"/>
    </row>
    <row r="90" customFormat="false" ht="15" hidden="false" customHeight="false" outlineLevel="0" collapsed="false">
      <c r="A90" s="11"/>
      <c r="B90" s="11"/>
      <c r="C90" s="11"/>
      <c r="D90" s="12"/>
      <c r="E90" s="12"/>
      <c r="F90" s="28"/>
      <c r="G90" s="20" t="str">
        <f aca="false">IF(D90="","",IF(E90&lt;&gt;"",IF(F90="Fail","Completed – failed","Completed"),IF(D90&lt;Dashboard!$C$5,"Missed",IF(D90-Dashboard!$C$5&lt;=Lists!$Q$2,"Due soon","Scheduled"))))</f>
        <v/>
      </c>
      <c r="H90" s="13"/>
      <c r="I90" s="33" t="str">
        <f aca="false">IF(OR(D90="",H90=""),"",IF(E90&lt;&gt;"",E90,D90)+H90)</f>
        <v/>
      </c>
      <c r="J90" s="11"/>
      <c r="K90" s="11"/>
    </row>
    <row r="91" customFormat="false" ht="15" hidden="false" customHeight="false" outlineLevel="0" collapsed="false">
      <c r="A91" s="11"/>
      <c r="B91" s="11"/>
      <c r="C91" s="11"/>
      <c r="D91" s="12"/>
      <c r="E91" s="12"/>
      <c r="F91" s="28"/>
      <c r="G91" s="20" t="str">
        <f aca="false">IF(D91="","",IF(E91&lt;&gt;"",IF(F91="Fail","Completed – failed","Completed"),IF(D91&lt;Dashboard!$C$5,"Missed",IF(D91-Dashboard!$C$5&lt;=Lists!$Q$2,"Due soon","Scheduled"))))</f>
        <v/>
      </c>
      <c r="H91" s="13"/>
      <c r="I91" s="33" t="str">
        <f aca="false">IF(OR(D91="",H91=""),"",IF(E91&lt;&gt;"",E91,D91)+H91)</f>
        <v/>
      </c>
      <c r="J91" s="11"/>
      <c r="K91" s="11"/>
    </row>
    <row r="92" customFormat="false" ht="15" hidden="false" customHeight="false" outlineLevel="0" collapsed="false">
      <c r="A92" s="11"/>
      <c r="B92" s="11"/>
      <c r="C92" s="11"/>
      <c r="D92" s="12"/>
      <c r="E92" s="12"/>
      <c r="F92" s="28"/>
      <c r="G92" s="20" t="str">
        <f aca="false">IF(D92="","",IF(E92&lt;&gt;"",IF(F92="Fail","Completed – failed","Completed"),IF(D92&lt;Dashboard!$C$5,"Missed",IF(D92-Dashboard!$C$5&lt;=Lists!$Q$2,"Due soon","Scheduled"))))</f>
        <v/>
      </c>
      <c r="H92" s="13"/>
      <c r="I92" s="33" t="str">
        <f aca="false">IF(OR(D92="",H92=""),"",IF(E92&lt;&gt;"",E92,D92)+H92)</f>
        <v/>
      </c>
      <c r="J92" s="11"/>
      <c r="K92" s="11"/>
    </row>
    <row r="93" customFormat="false" ht="15" hidden="false" customHeight="false" outlineLevel="0" collapsed="false">
      <c r="A93" s="11"/>
      <c r="B93" s="11"/>
      <c r="C93" s="11"/>
      <c r="D93" s="12"/>
      <c r="E93" s="12"/>
      <c r="F93" s="28"/>
      <c r="G93" s="20" t="str">
        <f aca="false">IF(D93="","",IF(E93&lt;&gt;"",IF(F93="Fail","Completed – failed","Completed"),IF(D93&lt;Dashboard!$C$5,"Missed",IF(D93-Dashboard!$C$5&lt;=Lists!$Q$2,"Due soon","Scheduled"))))</f>
        <v/>
      </c>
      <c r="H93" s="13"/>
      <c r="I93" s="33" t="str">
        <f aca="false">IF(OR(D93="",H93=""),"",IF(E93&lt;&gt;"",E93,D93)+H93)</f>
        <v/>
      </c>
      <c r="J93" s="11"/>
      <c r="K93" s="11"/>
    </row>
    <row r="94" customFormat="false" ht="15" hidden="false" customHeight="false" outlineLevel="0" collapsed="false">
      <c r="A94" s="11"/>
      <c r="B94" s="11"/>
      <c r="C94" s="11"/>
      <c r="D94" s="12"/>
      <c r="E94" s="12"/>
      <c r="F94" s="28"/>
      <c r="G94" s="20" t="str">
        <f aca="false">IF(D94="","",IF(E94&lt;&gt;"",IF(F94="Fail","Completed – failed","Completed"),IF(D94&lt;Dashboard!$C$5,"Missed",IF(D94-Dashboard!$C$5&lt;=Lists!$Q$2,"Due soon","Scheduled"))))</f>
        <v/>
      </c>
      <c r="H94" s="13"/>
      <c r="I94" s="33" t="str">
        <f aca="false">IF(OR(D94="",H94=""),"",IF(E94&lt;&gt;"",E94,D94)+H94)</f>
        <v/>
      </c>
      <c r="J94" s="11"/>
      <c r="K94" s="11"/>
    </row>
    <row r="95" customFormat="false" ht="15" hidden="false" customHeight="false" outlineLevel="0" collapsed="false">
      <c r="A95" s="11"/>
      <c r="B95" s="11"/>
      <c r="C95" s="11"/>
      <c r="D95" s="12"/>
      <c r="E95" s="12"/>
      <c r="F95" s="28"/>
      <c r="G95" s="20" t="str">
        <f aca="false">IF(D95="","",IF(E95&lt;&gt;"",IF(F95="Fail","Completed – failed","Completed"),IF(D95&lt;Dashboard!$C$5,"Missed",IF(D95-Dashboard!$C$5&lt;=Lists!$Q$2,"Due soon","Scheduled"))))</f>
        <v/>
      </c>
      <c r="H95" s="13"/>
      <c r="I95" s="33" t="str">
        <f aca="false">IF(OR(D95="",H95=""),"",IF(E95&lt;&gt;"",E95,D95)+H95)</f>
        <v/>
      </c>
      <c r="J95" s="11"/>
      <c r="K95" s="11"/>
    </row>
    <row r="96" customFormat="false" ht="15" hidden="false" customHeight="false" outlineLevel="0" collapsed="false">
      <c r="A96" s="11"/>
      <c r="B96" s="11"/>
      <c r="C96" s="11"/>
      <c r="D96" s="12"/>
      <c r="E96" s="12"/>
      <c r="F96" s="28"/>
      <c r="G96" s="20" t="str">
        <f aca="false">IF(D96="","",IF(E96&lt;&gt;"",IF(F96="Fail","Completed – failed","Completed"),IF(D96&lt;Dashboard!$C$5,"Missed",IF(D96-Dashboard!$C$5&lt;=Lists!$Q$2,"Due soon","Scheduled"))))</f>
        <v/>
      </c>
      <c r="H96" s="13"/>
      <c r="I96" s="33" t="str">
        <f aca="false">IF(OR(D96="",H96=""),"",IF(E96&lt;&gt;"",E96,D96)+H96)</f>
        <v/>
      </c>
      <c r="J96" s="11"/>
      <c r="K96" s="11"/>
    </row>
    <row r="97" customFormat="false" ht="15" hidden="false" customHeight="false" outlineLevel="0" collapsed="false">
      <c r="A97" s="11"/>
      <c r="B97" s="11"/>
      <c r="C97" s="11"/>
      <c r="D97" s="12"/>
      <c r="E97" s="12"/>
      <c r="F97" s="28"/>
      <c r="G97" s="20" t="str">
        <f aca="false">IF(D97="","",IF(E97&lt;&gt;"",IF(F97="Fail","Completed – failed","Completed"),IF(D97&lt;Dashboard!$C$5,"Missed",IF(D97-Dashboard!$C$5&lt;=Lists!$Q$2,"Due soon","Scheduled"))))</f>
        <v/>
      </c>
      <c r="H97" s="13"/>
      <c r="I97" s="33" t="str">
        <f aca="false">IF(OR(D97="",H97=""),"",IF(E97&lt;&gt;"",E97,D97)+H97)</f>
        <v/>
      </c>
      <c r="J97" s="11"/>
      <c r="K97" s="11"/>
    </row>
    <row r="98" customFormat="false" ht="15" hidden="false" customHeight="false" outlineLevel="0" collapsed="false">
      <c r="A98" s="11"/>
      <c r="B98" s="11"/>
      <c r="C98" s="11"/>
      <c r="D98" s="12"/>
      <c r="E98" s="12"/>
      <c r="F98" s="28"/>
      <c r="G98" s="20" t="str">
        <f aca="false">IF(D98="","",IF(E98&lt;&gt;"",IF(F98="Fail","Completed – failed","Completed"),IF(D98&lt;Dashboard!$C$5,"Missed",IF(D98-Dashboard!$C$5&lt;=Lists!$Q$2,"Due soon","Scheduled"))))</f>
        <v/>
      </c>
      <c r="H98" s="13"/>
      <c r="I98" s="33" t="str">
        <f aca="false">IF(OR(D98="",H98=""),"",IF(E98&lt;&gt;"",E98,D98)+H98)</f>
        <v/>
      </c>
      <c r="J98" s="11"/>
      <c r="K98" s="11"/>
    </row>
    <row r="99" customFormat="false" ht="15" hidden="false" customHeight="false" outlineLevel="0" collapsed="false">
      <c r="A99" s="11"/>
      <c r="B99" s="11"/>
      <c r="C99" s="11"/>
      <c r="D99" s="12"/>
      <c r="E99" s="12"/>
      <c r="F99" s="28"/>
      <c r="G99" s="20" t="str">
        <f aca="false">IF(D99="","",IF(E99&lt;&gt;"",IF(F99="Fail","Completed – failed","Completed"),IF(D99&lt;Dashboard!$C$5,"Missed",IF(D99-Dashboard!$C$5&lt;=Lists!$Q$2,"Due soon","Scheduled"))))</f>
        <v/>
      </c>
      <c r="H99" s="13"/>
      <c r="I99" s="33" t="str">
        <f aca="false">IF(OR(D99="",H99=""),"",IF(E99&lt;&gt;"",E99,D99)+H99)</f>
        <v/>
      </c>
      <c r="J99" s="11"/>
      <c r="K99" s="11"/>
    </row>
    <row r="100" customFormat="false" ht="15" hidden="false" customHeight="false" outlineLevel="0" collapsed="false">
      <c r="A100" s="11"/>
      <c r="B100" s="11"/>
      <c r="C100" s="11"/>
      <c r="D100" s="12"/>
      <c r="E100" s="12"/>
      <c r="F100" s="28"/>
      <c r="G100" s="20" t="str">
        <f aca="false">IF(D100="","",IF(E100&lt;&gt;"",IF(F100="Fail","Completed – failed","Completed"),IF(D100&lt;Dashboard!$C$5,"Missed",IF(D100-Dashboard!$C$5&lt;=Lists!$Q$2,"Due soon","Scheduled"))))</f>
        <v/>
      </c>
      <c r="H100" s="13"/>
      <c r="I100" s="33" t="str">
        <f aca="false">IF(OR(D100="",H100=""),"",IF(E100&lt;&gt;"",E100,D100)+H100)</f>
        <v/>
      </c>
      <c r="J100" s="11"/>
      <c r="K100" s="11"/>
    </row>
    <row r="101" customFormat="false" ht="15" hidden="false" customHeight="false" outlineLevel="0" collapsed="false">
      <c r="A101" s="11"/>
      <c r="B101" s="11"/>
      <c r="C101" s="11"/>
      <c r="D101" s="12"/>
      <c r="E101" s="12"/>
      <c r="F101" s="28"/>
      <c r="G101" s="20" t="str">
        <f aca="false">IF(D101="","",IF(E101&lt;&gt;"",IF(F101="Fail","Completed – failed","Completed"),IF(D101&lt;Dashboard!$C$5,"Missed",IF(D101-Dashboard!$C$5&lt;=Lists!$Q$2,"Due soon","Scheduled"))))</f>
        <v/>
      </c>
      <c r="H101" s="13"/>
      <c r="I101" s="33" t="str">
        <f aca="false">IF(OR(D101="",H101=""),"",IF(E101&lt;&gt;"",E101,D101)+H101)</f>
        <v/>
      </c>
      <c r="J101" s="11"/>
      <c r="K101" s="11"/>
    </row>
    <row r="102" customFormat="false" ht="15" hidden="false" customHeight="false" outlineLevel="0" collapsed="false">
      <c r="A102" s="11"/>
      <c r="B102" s="11"/>
      <c r="C102" s="11"/>
      <c r="D102" s="12"/>
      <c r="E102" s="12"/>
      <c r="F102" s="28"/>
      <c r="G102" s="20" t="str">
        <f aca="false">IF(D102="","",IF(E102&lt;&gt;"",IF(F102="Fail","Completed – failed","Completed"),IF(D102&lt;Dashboard!$C$5,"Missed",IF(D102-Dashboard!$C$5&lt;=Lists!$Q$2,"Due soon","Scheduled"))))</f>
        <v/>
      </c>
      <c r="H102" s="13"/>
      <c r="I102" s="33" t="str">
        <f aca="false">IF(OR(D102="",H102=""),"",IF(E102&lt;&gt;"",E102,D102)+H102)</f>
        <v/>
      </c>
      <c r="J102" s="11"/>
      <c r="K102" s="11"/>
    </row>
    <row r="103" customFormat="false" ht="15" hidden="false" customHeight="false" outlineLevel="0" collapsed="false">
      <c r="A103" s="11"/>
      <c r="B103" s="11"/>
      <c r="C103" s="11"/>
      <c r="D103" s="12"/>
      <c r="E103" s="12"/>
      <c r="F103" s="28"/>
      <c r="G103" s="20" t="str">
        <f aca="false">IF(D103="","",IF(E103&lt;&gt;"",IF(F103="Fail","Completed – failed","Completed"),IF(D103&lt;Dashboard!$C$5,"Missed",IF(D103-Dashboard!$C$5&lt;=Lists!$Q$2,"Due soon","Scheduled"))))</f>
        <v/>
      </c>
      <c r="H103" s="13"/>
      <c r="I103" s="33" t="str">
        <f aca="false">IF(OR(D103="",H103=""),"",IF(E103&lt;&gt;"",E103,D103)+H103)</f>
        <v/>
      </c>
      <c r="J103" s="11"/>
      <c r="K103" s="11"/>
    </row>
    <row r="104" customFormat="false" ht="15" hidden="false" customHeight="false" outlineLevel="0" collapsed="false">
      <c r="A104" s="11"/>
      <c r="B104" s="11"/>
      <c r="C104" s="11"/>
      <c r="D104" s="12"/>
      <c r="E104" s="12"/>
      <c r="F104" s="28"/>
      <c r="G104" s="20" t="str">
        <f aca="false">IF(D104="","",IF(E104&lt;&gt;"",IF(F104="Fail","Completed – failed","Completed"),IF(D104&lt;Dashboard!$C$5,"Missed",IF(D104-Dashboard!$C$5&lt;=Lists!$Q$2,"Due soon","Scheduled"))))</f>
        <v/>
      </c>
      <c r="H104" s="13"/>
      <c r="I104" s="33" t="str">
        <f aca="false">IF(OR(D104="",H104=""),"",IF(E104&lt;&gt;"",E104,D104)+H104)</f>
        <v/>
      </c>
      <c r="J104" s="11"/>
      <c r="K104" s="11"/>
    </row>
    <row r="105" customFormat="false" ht="15" hidden="false" customHeight="false" outlineLevel="0" collapsed="false">
      <c r="A105" s="11"/>
      <c r="B105" s="11"/>
      <c r="C105" s="11"/>
      <c r="D105" s="12"/>
      <c r="E105" s="12"/>
      <c r="F105" s="28"/>
      <c r="G105" s="20" t="str">
        <f aca="false">IF(D105="","",IF(E105&lt;&gt;"",IF(F105="Fail","Completed – failed","Completed"),IF(D105&lt;Dashboard!$C$5,"Missed",IF(D105-Dashboard!$C$5&lt;=Lists!$Q$2,"Due soon","Scheduled"))))</f>
        <v/>
      </c>
      <c r="H105" s="13"/>
      <c r="I105" s="33" t="str">
        <f aca="false">IF(OR(D105="",H105=""),"",IF(E105&lt;&gt;"",E105,D105)+H105)</f>
        <v/>
      </c>
      <c r="J105" s="11"/>
      <c r="K105" s="11"/>
    </row>
    <row r="106" customFormat="false" ht="15" hidden="false" customHeight="false" outlineLevel="0" collapsed="false">
      <c r="A106" s="11"/>
      <c r="B106" s="11"/>
      <c r="C106" s="11"/>
      <c r="D106" s="12"/>
      <c r="E106" s="12"/>
      <c r="F106" s="28"/>
      <c r="G106" s="20" t="str">
        <f aca="false">IF(D106="","",IF(E106&lt;&gt;"",IF(F106="Fail","Completed – failed","Completed"),IF(D106&lt;Dashboard!$C$5,"Missed",IF(D106-Dashboard!$C$5&lt;=Lists!$Q$2,"Due soon","Scheduled"))))</f>
        <v/>
      </c>
      <c r="H106" s="13"/>
      <c r="I106" s="33" t="str">
        <f aca="false">IF(OR(D106="",H106=""),"",IF(E106&lt;&gt;"",E106,D106)+H106)</f>
        <v/>
      </c>
      <c r="J106" s="11"/>
      <c r="K106" s="11"/>
    </row>
    <row r="107" customFormat="false" ht="15" hidden="false" customHeight="false" outlineLevel="0" collapsed="false">
      <c r="A107" s="11"/>
      <c r="B107" s="11"/>
      <c r="C107" s="11"/>
      <c r="D107" s="12"/>
      <c r="E107" s="12"/>
      <c r="F107" s="28"/>
      <c r="G107" s="20" t="str">
        <f aca="false">IF(D107="","",IF(E107&lt;&gt;"",IF(F107="Fail","Completed – failed","Completed"),IF(D107&lt;Dashboard!$C$5,"Missed",IF(D107-Dashboard!$C$5&lt;=Lists!$Q$2,"Due soon","Scheduled"))))</f>
        <v/>
      </c>
      <c r="H107" s="13"/>
      <c r="I107" s="33" t="str">
        <f aca="false">IF(OR(D107="",H107=""),"",IF(E107&lt;&gt;"",E107,D107)+H107)</f>
        <v/>
      </c>
      <c r="J107" s="11"/>
      <c r="K107" s="11"/>
    </row>
    <row r="108" customFormat="false" ht="15" hidden="false" customHeight="false" outlineLevel="0" collapsed="false">
      <c r="A108" s="11"/>
      <c r="B108" s="11"/>
      <c r="C108" s="11"/>
      <c r="D108" s="12"/>
      <c r="E108" s="12"/>
      <c r="F108" s="28"/>
      <c r="G108" s="20" t="str">
        <f aca="false">IF(D108="","",IF(E108&lt;&gt;"",IF(F108="Fail","Completed – failed","Completed"),IF(D108&lt;Dashboard!$C$5,"Missed",IF(D108-Dashboard!$C$5&lt;=Lists!$Q$2,"Due soon","Scheduled"))))</f>
        <v/>
      </c>
      <c r="H108" s="13"/>
      <c r="I108" s="33" t="str">
        <f aca="false">IF(OR(D108="",H108=""),"",IF(E108&lt;&gt;"",E108,D108)+H108)</f>
        <v/>
      </c>
      <c r="J108" s="11"/>
      <c r="K108" s="11"/>
    </row>
    <row r="109" customFormat="false" ht="15" hidden="false" customHeight="false" outlineLevel="0" collapsed="false">
      <c r="A109" s="11"/>
      <c r="B109" s="11"/>
      <c r="C109" s="11"/>
      <c r="D109" s="12"/>
      <c r="E109" s="12"/>
      <c r="F109" s="28"/>
      <c r="G109" s="20" t="str">
        <f aca="false">IF(D109="","",IF(E109&lt;&gt;"",IF(F109="Fail","Completed – failed","Completed"),IF(D109&lt;Dashboard!$C$5,"Missed",IF(D109-Dashboard!$C$5&lt;=Lists!$Q$2,"Due soon","Scheduled"))))</f>
        <v/>
      </c>
      <c r="H109" s="13"/>
      <c r="I109" s="33" t="str">
        <f aca="false">IF(OR(D109="",H109=""),"",IF(E109&lt;&gt;"",E109,D109)+H109)</f>
        <v/>
      </c>
      <c r="J109" s="11"/>
      <c r="K109" s="11"/>
    </row>
    <row r="110" customFormat="false" ht="15" hidden="false" customHeight="false" outlineLevel="0" collapsed="false">
      <c r="A110" s="11"/>
      <c r="B110" s="11"/>
      <c r="C110" s="11"/>
      <c r="D110" s="12"/>
      <c r="E110" s="12"/>
      <c r="F110" s="28"/>
      <c r="G110" s="20" t="str">
        <f aca="false">IF(D110="","",IF(E110&lt;&gt;"",IF(F110="Fail","Completed – failed","Completed"),IF(D110&lt;Dashboard!$C$5,"Missed",IF(D110-Dashboard!$C$5&lt;=Lists!$Q$2,"Due soon","Scheduled"))))</f>
        <v/>
      </c>
      <c r="H110" s="13"/>
      <c r="I110" s="33" t="str">
        <f aca="false">IF(OR(D110="",H110=""),"",IF(E110&lt;&gt;"",E110,D110)+H110)</f>
        <v/>
      </c>
      <c r="J110" s="11"/>
      <c r="K110" s="11"/>
    </row>
    <row r="111" customFormat="false" ht="15" hidden="false" customHeight="false" outlineLevel="0" collapsed="false">
      <c r="A111" s="11"/>
      <c r="B111" s="11"/>
      <c r="C111" s="11"/>
      <c r="D111" s="12"/>
      <c r="E111" s="12"/>
      <c r="F111" s="28"/>
      <c r="G111" s="20" t="str">
        <f aca="false">IF(D111="","",IF(E111&lt;&gt;"",IF(F111="Fail","Completed – failed","Completed"),IF(D111&lt;Dashboard!$C$5,"Missed",IF(D111-Dashboard!$C$5&lt;=Lists!$Q$2,"Due soon","Scheduled"))))</f>
        <v/>
      </c>
      <c r="H111" s="13"/>
      <c r="I111" s="33" t="str">
        <f aca="false">IF(OR(D111="",H111=""),"",IF(E111&lt;&gt;"",E111,D111)+H111)</f>
        <v/>
      </c>
      <c r="J111" s="11"/>
      <c r="K111" s="11"/>
    </row>
    <row r="112" customFormat="false" ht="15" hidden="false" customHeight="false" outlineLevel="0" collapsed="false">
      <c r="A112" s="11"/>
      <c r="B112" s="11"/>
      <c r="C112" s="11"/>
      <c r="D112" s="12"/>
      <c r="E112" s="12"/>
      <c r="F112" s="28"/>
      <c r="G112" s="20" t="str">
        <f aca="false">IF(D112="","",IF(E112&lt;&gt;"",IF(F112="Fail","Completed – failed","Completed"),IF(D112&lt;Dashboard!$C$5,"Missed",IF(D112-Dashboard!$C$5&lt;=Lists!$Q$2,"Due soon","Scheduled"))))</f>
        <v/>
      </c>
      <c r="H112" s="13"/>
      <c r="I112" s="33" t="str">
        <f aca="false">IF(OR(D112="",H112=""),"",IF(E112&lt;&gt;"",E112,D112)+H112)</f>
        <v/>
      </c>
      <c r="J112" s="11"/>
      <c r="K112" s="11"/>
    </row>
    <row r="113" customFormat="false" ht="15" hidden="false" customHeight="false" outlineLevel="0" collapsed="false">
      <c r="A113" s="11"/>
      <c r="B113" s="11"/>
      <c r="C113" s="11"/>
      <c r="D113" s="12"/>
      <c r="E113" s="12"/>
      <c r="F113" s="28"/>
      <c r="G113" s="20" t="str">
        <f aca="false">IF(D113="","",IF(E113&lt;&gt;"",IF(F113="Fail","Completed – failed","Completed"),IF(D113&lt;Dashboard!$C$5,"Missed",IF(D113-Dashboard!$C$5&lt;=Lists!$Q$2,"Due soon","Scheduled"))))</f>
        <v/>
      </c>
      <c r="H113" s="13"/>
      <c r="I113" s="33" t="str">
        <f aca="false">IF(OR(D113="",H113=""),"",IF(E113&lt;&gt;"",E113,D113)+H113)</f>
        <v/>
      </c>
      <c r="J113" s="11"/>
      <c r="K113" s="11"/>
    </row>
    <row r="114" customFormat="false" ht="15" hidden="false" customHeight="false" outlineLevel="0" collapsed="false">
      <c r="A114" s="11"/>
      <c r="B114" s="11"/>
      <c r="C114" s="11"/>
      <c r="D114" s="12"/>
      <c r="E114" s="12"/>
      <c r="F114" s="28"/>
      <c r="G114" s="20" t="str">
        <f aca="false">IF(D114="","",IF(E114&lt;&gt;"",IF(F114="Fail","Completed – failed","Completed"),IF(D114&lt;Dashboard!$C$5,"Missed",IF(D114-Dashboard!$C$5&lt;=Lists!$Q$2,"Due soon","Scheduled"))))</f>
        <v/>
      </c>
      <c r="H114" s="13"/>
      <c r="I114" s="33" t="str">
        <f aca="false">IF(OR(D114="",H114=""),"",IF(E114&lt;&gt;"",E114,D114)+H114)</f>
        <v/>
      </c>
      <c r="J114" s="11"/>
      <c r="K114" s="11"/>
    </row>
    <row r="115" customFormat="false" ht="15" hidden="false" customHeight="false" outlineLevel="0" collapsed="false">
      <c r="A115" s="11"/>
      <c r="B115" s="11"/>
      <c r="C115" s="11"/>
      <c r="D115" s="12"/>
      <c r="E115" s="12"/>
      <c r="F115" s="28"/>
      <c r="G115" s="20" t="str">
        <f aca="false">IF(D115="","",IF(E115&lt;&gt;"",IF(F115="Fail","Completed – failed","Completed"),IF(D115&lt;Dashboard!$C$5,"Missed",IF(D115-Dashboard!$C$5&lt;=Lists!$Q$2,"Due soon","Scheduled"))))</f>
        <v/>
      </c>
      <c r="H115" s="13"/>
      <c r="I115" s="33" t="str">
        <f aca="false">IF(OR(D115="",H115=""),"",IF(E115&lt;&gt;"",E115,D115)+H115)</f>
        <v/>
      </c>
      <c r="J115" s="11"/>
      <c r="K115" s="11"/>
    </row>
    <row r="116" customFormat="false" ht="15" hidden="false" customHeight="false" outlineLevel="0" collapsed="false">
      <c r="A116" s="11"/>
      <c r="B116" s="11"/>
      <c r="C116" s="11"/>
      <c r="D116" s="12"/>
      <c r="E116" s="12"/>
      <c r="F116" s="28"/>
      <c r="G116" s="20" t="str">
        <f aca="false">IF(D116="","",IF(E116&lt;&gt;"",IF(F116="Fail","Completed – failed","Completed"),IF(D116&lt;Dashboard!$C$5,"Missed",IF(D116-Dashboard!$C$5&lt;=Lists!$Q$2,"Due soon","Scheduled"))))</f>
        <v/>
      </c>
      <c r="H116" s="13"/>
      <c r="I116" s="33" t="str">
        <f aca="false">IF(OR(D116="",H116=""),"",IF(E116&lt;&gt;"",E116,D116)+H116)</f>
        <v/>
      </c>
      <c r="J116" s="11"/>
      <c r="K116" s="11"/>
    </row>
    <row r="117" customFormat="false" ht="15" hidden="false" customHeight="false" outlineLevel="0" collapsed="false">
      <c r="A117" s="11"/>
      <c r="B117" s="11"/>
      <c r="C117" s="11"/>
      <c r="D117" s="12"/>
      <c r="E117" s="12"/>
      <c r="F117" s="28"/>
      <c r="G117" s="20" t="str">
        <f aca="false">IF(D117="","",IF(E117&lt;&gt;"",IF(F117="Fail","Completed – failed","Completed"),IF(D117&lt;Dashboard!$C$5,"Missed",IF(D117-Dashboard!$C$5&lt;=Lists!$Q$2,"Due soon","Scheduled"))))</f>
        <v/>
      </c>
      <c r="H117" s="13"/>
      <c r="I117" s="33" t="str">
        <f aca="false">IF(OR(D117="",H117=""),"",IF(E117&lt;&gt;"",E117,D117)+H117)</f>
        <v/>
      </c>
      <c r="J117" s="11"/>
      <c r="K117" s="11"/>
    </row>
    <row r="118" customFormat="false" ht="15" hidden="false" customHeight="false" outlineLevel="0" collapsed="false">
      <c r="A118" s="11"/>
      <c r="B118" s="11"/>
      <c r="C118" s="11"/>
      <c r="D118" s="12"/>
      <c r="E118" s="12"/>
      <c r="F118" s="28"/>
      <c r="G118" s="20" t="str">
        <f aca="false">IF(D118="","",IF(E118&lt;&gt;"",IF(F118="Fail","Completed – failed","Completed"),IF(D118&lt;Dashboard!$C$5,"Missed",IF(D118-Dashboard!$C$5&lt;=Lists!$Q$2,"Due soon","Scheduled"))))</f>
        <v/>
      </c>
      <c r="H118" s="13"/>
      <c r="I118" s="33" t="str">
        <f aca="false">IF(OR(D118="",H118=""),"",IF(E118&lt;&gt;"",E118,D118)+H118)</f>
        <v/>
      </c>
      <c r="J118" s="11"/>
      <c r="K118" s="11"/>
    </row>
    <row r="119" customFormat="false" ht="15" hidden="false" customHeight="false" outlineLevel="0" collapsed="false">
      <c r="A119" s="11"/>
      <c r="B119" s="11"/>
      <c r="C119" s="11"/>
      <c r="D119" s="12"/>
      <c r="E119" s="12"/>
      <c r="F119" s="28"/>
      <c r="G119" s="20" t="str">
        <f aca="false">IF(D119="","",IF(E119&lt;&gt;"",IF(F119="Fail","Completed – failed","Completed"),IF(D119&lt;Dashboard!$C$5,"Missed",IF(D119-Dashboard!$C$5&lt;=Lists!$Q$2,"Due soon","Scheduled"))))</f>
        <v/>
      </c>
      <c r="H119" s="13"/>
      <c r="I119" s="33" t="str">
        <f aca="false">IF(OR(D119="",H119=""),"",IF(E119&lt;&gt;"",E119,D119)+H119)</f>
        <v/>
      </c>
      <c r="J119" s="11"/>
      <c r="K119" s="11"/>
    </row>
    <row r="120" customFormat="false" ht="15" hidden="false" customHeight="false" outlineLevel="0" collapsed="false">
      <c r="A120" s="11"/>
      <c r="B120" s="11"/>
      <c r="C120" s="11"/>
      <c r="D120" s="12"/>
      <c r="E120" s="12"/>
      <c r="F120" s="28"/>
      <c r="G120" s="20" t="str">
        <f aca="false">IF(D120="","",IF(E120&lt;&gt;"",IF(F120="Fail","Completed – failed","Completed"),IF(D120&lt;Dashboard!$C$5,"Missed",IF(D120-Dashboard!$C$5&lt;=Lists!$Q$2,"Due soon","Scheduled"))))</f>
        <v/>
      </c>
      <c r="H120" s="13"/>
      <c r="I120" s="33" t="str">
        <f aca="false">IF(OR(D120="",H120=""),"",IF(E120&lt;&gt;"",E120,D120)+H120)</f>
        <v/>
      </c>
      <c r="J120" s="11"/>
      <c r="K120" s="11"/>
    </row>
    <row r="121" customFormat="false" ht="15" hidden="false" customHeight="false" outlineLevel="0" collapsed="false">
      <c r="A121" s="11"/>
      <c r="B121" s="11"/>
      <c r="C121" s="11"/>
      <c r="D121" s="12"/>
      <c r="E121" s="12"/>
      <c r="F121" s="28"/>
      <c r="G121" s="20" t="str">
        <f aca="false">IF(D121="","",IF(E121&lt;&gt;"",IF(F121="Fail","Completed – failed","Completed"),IF(D121&lt;Dashboard!$C$5,"Missed",IF(D121-Dashboard!$C$5&lt;=Lists!$Q$2,"Due soon","Scheduled"))))</f>
        <v/>
      </c>
      <c r="H121" s="13"/>
      <c r="I121" s="33" t="str">
        <f aca="false">IF(OR(D121="",H121=""),"",IF(E121&lt;&gt;"",E121,D121)+H121)</f>
        <v/>
      </c>
      <c r="J121" s="11"/>
      <c r="K121" s="11"/>
    </row>
    <row r="122" customFormat="false" ht="15" hidden="false" customHeight="false" outlineLevel="0" collapsed="false">
      <c r="A122" s="11"/>
      <c r="B122" s="11"/>
      <c r="C122" s="11"/>
      <c r="D122" s="12"/>
      <c r="E122" s="12"/>
      <c r="F122" s="28"/>
      <c r="G122" s="20" t="str">
        <f aca="false">IF(D122="","",IF(E122&lt;&gt;"",IF(F122="Fail","Completed – failed","Completed"),IF(D122&lt;Dashboard!$C$5,"Missed",IF(D122-Dashboard!$C$5&lt;=Lists!$Q$2,"Due soon","Scheduled"))))</f>
        <v/>
      </c>
      <c r="H122" s="13"/>
      <c r="I122" s="33" t="str">
        <f aca="false">IF(OR(D122="",H122=""),"",IF(E122&lt;&gt;"",E122,D122)+H122)</f>
        <v/>
      </c>
      <c r="J122" s="11"/>
      <c r="K122" s="11"/>
    </row>
    <row r="123" customFormat="false" ht="15" hidden="false" customHeight="false" outlineLevel="0" collapsed="false">
      <c r="A123" s="11"/>
      <c r="B123" s="11"/>
      <c r="C123" s="11"/>
      <c r="D123" s="12"/>
      <c r="E123" s="12"/>
      <c r="F123" s="28"/>
      <c r="G123" s="20" t="str">
        <f aca="false">IF(D123="","",IF(E123&lt;&gt;"",IF(F123="Fail","Completed – failed","Completed"),IF(D123&lt;Dashboard!$C$5,"Missed",IF(D123-Dashboard!$C$5&lt;=Lists!$Q$2,"Due soon","Scheduled"))))</f>
        <v/>
      </c>
      <c r="H123" s="13"/>
      <c r="I123" s="33" t="str">
        <f aca="false">IF(OR(D123="",H123=""),"",IF(E123&lt;&gt;"",E123,D123)+H123)</f>
        <v/>
      </c>
      <c r="J123" s="11"/>
      <c r="K123" s="11"/>
    </row>
    <row r="124" customFormat="false" ht="15" hidden="false" customHeight="false" outlineLevel="0" collapsed="false">
      <c r="A124" s="11"/>
      <c r="B124" s="11"/>
      <c r="C124" s="11"/>
      <c r="D124" s="12"/>
      <c r="E124" s="12"/>
      <c r="F124" s="28"/>
      <c r="G124" s="20" t="str">
        <f aca="false">IF(D124="","",IF(E124&lt;&gt;"",IF(F124="Fail","Completed – failed","Completed"),IF(D124&lt;Dashboard!$C$5,"Missed",IF(D124-Dashboard!$C$5&lt;=Lists!$Q$2,"Due soon","Scheduled"))))</f>
        <v/>
      </c>
      <c r="H124" s="13"/>
      <c r="I124" s="33" t="str">
        <f aca="false">IF(OR(D124="",H124=""),"",IF(E124&lt;&gt;"",E124,D124)+H124)</f>
        <v/>
      </c>
      <c r="J124" s="11"/>
      <c r="K124" s="11"/>
    </row>
    <row r="125" customFormat="false" ht="15" hidden="false" customHeight="false" outlineLevel="0" collapsed="false">
      <c r="A125" s="11"/>
      <c r="B125" s="11"/>
      <c r="C125" s="11"/>
      <c r="D125" s="12"/>
      <c r="E125" s="12"/>
      <c r="F125" s="28"/>
      <c r="G125" s="20" t="str">
        <f aca="false">IF(D125="","",IF(E125&lt;&gt;"",IF(F125="Fail","Completed – failed","Completed"),IF(D125&lt;Dashboard!$C$5,"Missed",IF(D125-Dashboard!$C$5&lt;=Lists!$Q$2,"Due soon","Scheduled"))))</f>
        <v/>
      </c>
      <c r="H125" s="13"/>
      <c r="I125" s="33" t="str">
        <f aca="false">IF(OR(D125="",H125=""),"",IF(E125&lt;&gt;"",E125,D125)+H125)</f>
        <v/>
      </c>
      <c r="J125" s="11"/>
      <c r="K125" s="11"/>
    </row>
    <row r="126" customFormat="false" ht="15" hidden="false" customHeight="false" outlineLevel="0" collapsed="false">
      <c r="A126" s="11"/>
      <c r="B126" s="11"/>
      <c r="C126" s="11"/>
      <c r="D126" s="12"/>
      <c r="E126" s="12"/>
      <c r="F126" s="28"/>
      <c r="G126" s="20" t="str">
        <f aca="false">IF(D126="","",IF(E126&lt;&gt;"",IF(F126="Fail","Completed – failed","Completed"),IF(D126&lt;Dashboard!$C$5,"Missed",IF(D126-Dashboard!$C$5&lt;=Lists!$Q$2,"Due soon","Scheduled"))))</f>
        <v/>
      </c>
      <c r="H126" s="13"/>
      <c r="I126" s="33" t="str">
        <f aca="false">IF(OR(D126="",H126=""),"",IF(E126&lt;&gt;"",E126,D126)+H126)</f>
        <v/>
      </c>
      <c r="J126" s="11"/>
      <c r="K126" s="11"/>
    </row>
    <row r="127" customFormat="false" ht="15" hidden="false" customHeight="false" outlineLevel="0" collapsed="false">
      <c r="A127" s="11"/>
      <c r="B127" s="11"/>
      <c r="C127" s="11"/>
      <c r="D127" s="12"/>
      <c r="E127" s="12"/>
      <c r="F127" s="28"/>
      <c r="G127" s="20" t="str">
        <f aca="false">IF(D127="","",IF(E127&lt;&gt;"",IF(F127="Fail","Completed – failed","Completed"),IF(D127&lt;Dashboard!$C$5,"Missed",IF(D127-Dashboard!$C$5&lt;=Lists!$Q$2,"Due soon","Scheduled"))))</f>
        <v/>
      </c>
      <c r="H127" s="13"/>
      <c r="I127" s="33" t="str">
        <f aca="false">IF(OR(D127="",H127=""),"",IF(E127&lt;&gt;"",E127,D127)+H127)</f>
        <v/>
      </c>
      <c r="J127" s="11"/>
      <c r="K127" s="11"/>
    </row>
    <row r="128" customFormat="false" ht="15" hidden="false" customHeight="false" outlineLevel="0" collapsed="false">
      <c r="A128" s="11"/>
      <c r="B128" s="11"/>
      <c r="C128" s="11"/>
      <c r="D128" s="12"/>
      <c r="E128" s="12"/>
      <c r="F128" s="28"/>
      <c r="G128" s="20" t="str">
        <f aca="false">IF(D128="","",IF(E128&lt;&gt;"",IF(F128="Fail","Completed – failed","Completed"),IF(D128&lt;Dashboard!$C$5,"Missed",IF(D128-Dashboard!$C$5&lt;=Lists!$Q$2,"Due soon","Scheduled"))))</f>
        <v/>
      </c>
      <c r="H128" s="13"/>
      <c r="I128" s="33" t="str">
        <f aca="false">IF(OR(D128="",H128=""),"",IF(E128&lt;&gt;"",E128,D128)+H128)</f>
        <v/>
      </c>
      <c r="J128" s="11"/>
      <c r="K128" s="11"/>
    </row>
    <row r="129" customFormat="false" ht="15" hidden="false" customHeight="false" outlineLevel="0" collapsed="false">
      <c r="A129" s="11"/>
      <c r="B129" s="11"/>
      <c r="C129" s="11"/>
      <c r="D129" s="12"/>
      <c r="E129" s="12"/>
      <c r="F129" s="28"/>
      <c r="G129" s="20" t="str">
        <f aca="false">IF(D129="","",IF(E129&lt;&gt;"",IF(F129="Fail","Completed – failed","Completed"),IF(D129&lt;Dashboard!$C$5,"Missed",IF(D129-Dashboard!$C$5&lt;=Lists!$Q$2,"Due soon","Scheduled"))))</f>
        <v/>
      </c>
      <c r="H129" s="13"/>
      <c r="I129" s="33" t="str">
        <f aca="false">IF(OR(D129="",H129=""),"",IF(E129&lt;&gt;"",E129,D129)+H129)</f>
        <v/>
      </c>
      <c r="J129" s="11"/>
      <c r="K129" s="11"/>
    </row>
    <row r="130" customFormat="false" ht="15" hidden="false" customHeight="false" outlineLevel="0" collapsed="false">
      <c r="A130" s="11"/>
      <c r="B130" s="11"/>
      <c r="C130" s="11"/>
      <c r="D130" s="12"/>
      <c r="E130" s="12"/>
      <c r="F130" s="28"/>
      <c r="G130" s="20" t="str">
        <f aca="false">IF(D130="","",IF(E130&lt;&gt;"",IF(F130="Fail","Completed – failed","Completed"),IF(D130&lt;Dashboard!$C$5,"Missed",IF(D130-Dashboard!$C$5&lt;=Lists!$Q$2,"Due soon","Scheduled"))))</f>
        <v/>
      </c>
      <c r="H130" s="13"/>
      <c r="I130" s="33" t="str">
        <f aca="false">IF(OR(D130="",H130=""),"",IF(E130&lt;&gt;"",E130,D130)+H130)</f>
        <v/>
      </c>
      <c r="J130" s="11"/>
      <c r="K130" s="11"/>
    </row>
    <row r="131" customFormat="false" ht="15" hidden="false" customHeight="false" outlineLevel="0" collapsed="false">
      <c r="A131" s="11"/>
      <c r="B131" s="11"/>
      <c r="C131" s="11"/>
      <c r="D131" s="12"/>
      <c r="E131" s="12"/>
      <c r="F131" s="28"/>
      <c r="G131" s="20" t="str">
        <f aca="false">IF(D131="","",IF(E131&lt;&gt;"",IF(F131="Fail","Completed – failed","Completed"),IF(D131&lt;Dashboard!$C$5,"Missed",IF(D131-Dashboard!$C$5&lt;=Lists!$Q$2,"Due soon","Scheduled"))))</f>
        <v/>
      </c>
      <c r="H131" s="13"/>
      <c r="I131" s="33" t="str">
        <f aca="false">IF(OR(D131="",H131=""),"",IF(E131&lt;&gt;"",E131,D131)+H131)</f>
        <v/>
      </c>
      <c r="J131" s="11"/>
      <c r="K131" s="11"/>
    </row>
    <row r="132" customFormat="false" ht="15" hidden="false" customHeight="false" outlineLevel="0" collapsed="false">
      <c r="A132" s="11"/>
      <c r="B132" s="11"/>
      <c r="C132" s="11"/>
      <c r="D132" s="12"/>
      <c r="E132" s="12"/>
      <c r="F132" s="28"/>
      <c r="G132" s="20" t="str">
        <f aca="false">IF(D132="","",IF(E132&lt;&gt;"",IF(F132="Fail","Completed – failed","Completed"),IF(D132&lt;Dashboard!$C$5,"Missed",IF(D132-Dashboard!$C$5&lt;=Lists!$Q$2,"Due soon","Scheduled"))))</f>
        <v/>
      </c>
      <c r="H132" s="13"/>
      <c r="I132" s="33" t="str">
        <f aca="false">IF(OR(D132="",H132=""),"",IF(E132&lt;&gt;"",E132,D132)+H132)</f>
        <v/>
      </c>
      <c r="J132" s="11"/>
      <c r="K132" s="11"/>
    </row>
    <row r="133" customFormat="false" ht="15" hidden="false" customHeight="false" outlineLevel="0" collapsed="false">
      <c r="A133" s="11"/>
      <c r="B133" s="11"/>
      <c r="C133" s="11"/>
      <c r="D133" s="12"/>
      <c r="E133" s="12"/>
      <c r="F133" s="28"/>
      <c r="G133" s="20" t="str">
        <f aca="false">IF(D133="","",IF(E133&lt;&gt;"",IF(F133="Fail","Completed – failed","Completed"),IF(D133&lt;Dashboard!$C$5,"Missed",IF(D133-Dashboard!$C$5&lt;=Lists!$Q$2,"Due soon","Scheduled"))))</f>
        <v/>
      </c>
      <c r="H133" s="13"/>
      <c r="I133" s="33" t="str">
        <f aca="false">IF(OR(D133="",H133=""),"",IF(E133&lt;&gt;"",E133,D133)+H133)</f>
        <v/>
      </c>
      <c r="J133" s="11"/>
      <c r="K133" s="11"/>
    </row>
    <row r="134" customFormat="false" ht="15" hidden="false" customHeight="false" outlineLevel="0" collapsed="false">
      <c r="A134" s="11"/>
      <c r="B134" s="11"/>
      <c r="C134" s="11"/>
      <c r="D134" s="12"/>
      <c r="E134" s="12"/>
      <c r="F134" s="28"/>
      <c r="G134" s="20" t="str">
        <f aca="false">IF(D134="","",IF(E134&lt;&gt;"",IF(F134="Fail","Completed – failed","Completed"),IF(D134&lt;Dashboard!$C$5,"Missed",IF(D134-Dashboard!$C$5&lt;=Lists!$Q$2,"Due soon","Scheduled"))))</f>
        <v/>
      </c>
      <c r="H134" s="13"/>
      <c r="I134" s="33" t="str">
        <f aca="false">IF(OR(D134="",H134=""),"",IF(E134&lt;&gt;"",E134,D134)+H134)</f>
        <v/>
      </c>
      <c r="J134" s="11"/>
      <c r="K134" s="11"/>
    </row>
    <row r="135" customFormat="false" ht="15" hidden="false" customHeight="false" outlineLevel="0" collapsed="false">
      <c r="A135" s="11"/>
      <c r="B135" s="11"/>
      <c r="C135" s="11"/>
      <c r="D135" s="12"/>
      <c r="E135" s="12"/>
      <c r="F135" s="28"/>
      <c r="G135" s="20" t="str">
        <f aca="false">IF(D135="","",IF(E135&lt;&gt;"",IF(F135="Fail","Completed – failed","Completed"),IF(D135&lt;Dashboard!$C$5,"Missed",IF(D135-Dashboard!$C$5&lt;=Lists!$Q$2,"Due soon","Scheduled"))))</f>
        <v/>
      </c>
      <c r="H135" s="13"/>
      <c r="I135" s="33" t="str">
        <f aca="false">IF(OR(D135="",H135=""),"",IF(E135&lt;&gt;"",E135,D135)+H135)</f>
        <v/>
      </c>
      <c r="J135" s="11"/>
      <c r="K135" s="11"/>
    </row>
    <row r="136" customFormat="false" ht="15" hidden="false" customHeight="false" outlineLevel="0" collapsed="false">
      <c r="A136" s="11"/>
      <c r="B136" s="11"/>
      <c r="C136" s="11"/>
      <c r="D136" s="12"/>
      <c r="E136" s="12"/>
      <c r="F136" s="28"/>
      <c r="G136" s="20" t="str">
        <f aca="false">IF(D136="","",IF(E136&lt;&gt;"",IF(F136="Fail","Completed – failed","Completed"),IF(D136&lt;Dashboard!$C$5,"Missed",IF(D136-Dashboard!$C$5&lt;=Lists!$Q$2,"Due soon","Scheduled"))))</f>
        <v/>
      </c>
      <c r="H136" s="13"/>
      <c r="I136" s="33" t="str">
        <f aca="false">IF(OR(D136="",H136=""),"",IF(E136&lt;&gt;"",E136,D136)+H136)</f>
        <v/>
      </c>
      <c r="J136" s="11"/>
      <c r="K136" s="11"/>
    </row>
    <row r="137" customFormat="false" ht="15" hidden="false" customHeight="false" outlineLevel="0" collapsed="false">
      <c r="A137" s="11"/>
      <c r="B137" s="11"/>
      <c r="C137" s="11"/>
      <c r="D137" s="12"/>
      <c r="E137" s="12"/>
      <c r="F137" s="28"/>
      <c r="G137" s="20" t="str">
        <f aca="false">IF(D137="","",IF(E137&lt;&gt;"",IF(F137="Fail","Completed – failed","Completed"),IF(D137&lt;Dashboard!$C$5,"Missed",IF(D137-Dashboard!$C$5&lt;=Lists!$Q$2,"Due soon","Scheduled"))))</f>
        <v/>
      </c>
      <c r="H137" s="13"/>
      <c r="I137" s="33" t="str">
        <f aca="false">IF(OR(D137="",H137=""),"",IF(E137&lt;&gt;"",E137,D137)+H137)</f>
        <v/>
      </c>
      <c r="J137" s="11"/>
      <c r="K137" s="11"/>
    </row>
    <row r="138" customFormat="false" ht="15" hidden="false" customHeight="false" outlineLevel="0" collapsed="false">
      <c r="A138" s="11"/>
      <c r="B138" s="11"/>
      <c r="C138" s="11"/>
      <c r="D138" s="12"/>
      <c r="E138" s="12"/>
      <c r="F138" s="28"/>
      <c r="G138" s="20" t="str">
        <f aca="false">IF(D138="","",IF(E138&lt;&gt;"",IF(F138="Fail","Completed – failed","Completed"),IF(D138&lt;Dashboard!$C$5,"Missed",IF(D138-Dashboard!$C$5&lt;=Lists!$Q$2,"Due soon","Scheduled"))))</f>
        <v/>
      </c>
      <c r="H138" s="13"/>
      <c r="I138" s="33" t="str">
        <f aca="false">IF(OR(D138="",H138=""),"",IF(E138&lt;&gt;"",E138,D138)+H138)</f>
        <v/>
      </c>
      <c r="J138" s="11"/>
      <c r="K138" s="11"/>
    </row>
    <row r="139" customFormat="false" ht="15" hidden="false" customHeight="false" outlineLevel="0" collapsed="false">
      <c r="A139" s="11"/>
      <c r="B139" s="11"/>
      <c r="C139" s="11"/>
      <c r="D139" s="12"/>
      <c r="E139" s="12"/>
      <c r="F139" s="28"/>
      <c r="G139" s="20" t="str">
        <f aca="false">IF(D139="","",IF(E139&lt;&gt;"",IF(F139="Fail","Completed – failed","Completed"),IF(D139&lt;Dashboard!$C$5,"Missed",IF(D139-Dashboard!$C$5&lt;=Lists!$Q$2,"Due soon","Scheduled"))))</f>
        <v/>
      </c>
      <c r="H139" s="13"/>
      <c r="I139" s="33" t="str">
        <f aca="false">IF(OR(D139="",H139=""),"",IF(E139&lt;&gt;"",E139,D139)+H139)</f>
        <v/>
      </c>
      <c r="J139" s="11"/>
      <c r="K139" s="11"/>
    </row>
    <row r="140" customFormat="false" ht="15" hidden="false" customHeight="false" outlineLevel="0" collapsed="false">
      <c r="A140" s="11"/>
      <c r="B140" s="11"/>
      <c r="C140" s="11"/>
      <c r="D140" s="12"/>
      <c r="E140" s="12"/>
      <c r="F140" s="28"/>
      <c r="G140" s="20" t="str">
        <f aca="false">IF(D140="","",IF(E140&lt;&gt;"",IF(F140="Fail","Completed – failed","Completed"),IF(D140&lt;Dashboard!$C$5,"Missed",IF(D140-Dashboard!$C$5&lt;=Lists!$Q$2,"Due soon","Scheduled"))))</f>
        <v/>
      </c>
      <c r="H140" s="13"/>
      <c r="I140" s="33" t="str">
        <f aca="false">IF(OR(D140="",H140=""),"",IF(E140&lt;&gt;"",E140,D140)+H140)</f>
        <v/>
      </c>
      <c r="J140" s="11"/>
      <c r="K140" s="11"/>
    </row>
    <row r="141" customFormat="false" ht="15" hidden="false" customHeight="false" outlineLevel="0" collapsed="false">
      <c r="A141" s="11"/>
      <c r="B141" s="11"/>
      <c r="C141" s="11"/>
      <c r="D141" s="12"/>
      <c r="E141" s="12"/>
      <c r="F141" s="28"/>
      <c r="G141" s="20" t="str">
        <f aca="false">IF(D141="","",IF(E141&lt;&gt;"",IF(F141="Fail","Completed – failed","Completed"),IF(D141&lt;Dashboard!$C$5,"Missed",IF(D141-Dashboard!$C$5&lt;=Lists!$Q$2,"Due soon","Scheduled"))))</f>
        <v/>
      </c>
      <c r="H141" s="13"/>
      <c r="I141" s="33" t="str">
        <f aca="false">IF(OR(D141="",H141=""),"",IF(E141&lt;&gt;"",E141,D141)+H141)</f>
        <v/>
      </c>
      <c r="J141" s="11"/>
      <c r="K141" s="11"/>
    </row>
    <row r="142" customFormat="false" ht="15" hidden="false" customHeight="false" outlineLevel="0" collapsed="false">
      <c r="A142" s="11"/>
      <c r="B142" s="11"/>
      <c r="C142" s="11"/>
      <c r="D142" s="12"/>
      <c r="E142" s="12"/>
      <c r="F142" s="28"/>
      <c r="G142" s="20" t="str">
        <f aca="false">IF(D142="","",IF(E142&lt;&gt;"",IF(F142="Fail","Completed – failed","Completed"),IF(D142&lt;Dashboard!$C$5,"Missed",IF(D142-Dashboard!$C$5&lt;=Lists!$Q$2,"Due soon","Scheduled"))))</f>
        <v/>
      </c>
      <c r="H142" s="13"/>
      <c r="I142" s="33" t="str">
        <f aca="false">IF(OR(D142="",H142=""),"",IF(E142&lt;&gt;"",E142,D142)+H142)</f>
        <v/>
      </c>
      <c r="J142" s="11"/>
      <c r="K142" s="11"/>
    </row>
    <row r="143" customFormat="false" ht="15" hidden="false" customHeight="false" outlineLevel="0" collapsed="false">
      <c r="A143" s="11"/>
      <c r="B143" s="11"/>
      <c r="C143" s="11"/>
      <c r="D143" s="12"/>
      <c r="E143" s="12"/>
      <c r="F143" s="28"/>
      <c r="G143" s="20" t="str">
        <f aca="false">IF(D143="","",IF(E143&lt;&gt;"",IF(F143="Fail","Completed – failed","Completed"),IF(D143&lt;Dashboard!$C$5,"Missed",IF(D143-Dashboard!$C$5&lt;=Lists!$Q$2,"Due soon","Scheduled"))))</f>
        <v/>
      </c>
      <c r="H143" s="13"/>
      <c r="I143" s="33" t="str">
        <f aca="false">IF(OR(D143="",H143=""),"",IF(E143&lt;&gt;"",E143,D143)+H143)</f>
        <v/>
      </c>
      <c r="J143" s="11"/>
      <c r="K143" s="11"/>
    </row>
    <row r="144" customFormat="false" ht="15" hidden="false" customHeight="false" outlineLevel="0" collapsed="false">
      <c r="A144" s="11"/>
      <c r="B144" s="11"/>
      <c r="C144" s="11"/>
      <c r="D144" s="12"/>
      <c r="E144" s="12"/>
      <c r="F144" s="28"/>
      <c r="G144" s="20" t="str">
        <f aca="false">IF(D144="","",IF(E144&lt;&gt;"",IF(F144="Fail","Completed – failed","Completed"),IF(D144&lt;Dashboard!$C$5,"Missed",IF(D144-Dashboard!$C$5&lt;=Lists!$Q$2,"Due soon","Scheduled"))))</f>
        <v/>
      </c>
      <c r="H144" s="13"/>
      <c r="I144" s="33" t="str">
        <f aca="false">IF(OR(D144="",H144=""),"",IF(E144&lt;&gt;"",E144,D144)+H144)</f>
        <v/>
      </c>
      <c r="J144" s="11"/>
      <c r="K144" s="11"/>
    </row>
    <row r="145" customFormat="false" ht="15" hidden="false" customHeight="false" outlineLevel="0" collapsed="false">
      <c r="A145" s="11"/>
      <c r="B145" s="11"/>
      <c r="C145" s="11"/>
      <c r="D145" s="12"/>
      <c r="E145" s="12"/>
      <c r="F145" s="28"/>
      <c r="G145" s="20" t="str">
        <f aca="false">IF(D145="","",IF(E145&lt;&gt;"",IF(F145="Fail","Completed – failed","Completed"),IF(D145&lt;Dashboard!$C$5,"Missed",IF(D145-Dashboard!$C$5&lt;=Lists!$Q$2,"Due soon","Scheduled"))))</f>
        <v/>
      </c>
      <c r="H145" s="13"/>
      <c r="I145" s="33" t="str">
        <f aca="false">IF(OR(D145="",H145=""),"",IF(E145&lt;&gt;"",E145,D145)+H145)</f>
        <v/>
      </c>
      <c r="J145" s="11"/>
      <c r="K145" s="11"/>
    </row>
    <row r="146" customFormat="false" ht="15" hidden="false" customHeight="false" outlineLevel="0" collapsed="false">
      <c r="A146" s="11"/>
      <c r="B146" s="11"/>
      <c r="C146" s="11"/>
      <c r="D146" s="12"/>
      <c r="E146" s="12"/>
      <c r="F146" s="28"/>
      <c r="G146" s="20" t="str">
        <f aca="false">IF(D146="","",IF(E146&lt;&gt;"",IF(F146="Fail","Completed – failed","Completed"),IF(D146&lt;Dashboard!$C$5,"Missed",IF(D146-Dashboard!$C$5&lt;=Lists!$Q$2,"Due soon","Scheduled"))))</f>
        <v/>
      </c>
      <c r="H146" s="13"/>
      <c r="I146" s="33" t="str">
        <f aca="false">IF(OR(D146="",H146=""),"",IF(E146&lt;&gt;"",E146,D146)+H146)</f>
        <v/>
      </c>
      <c r="J146" s="11"/>
      <c r="K146" s="11"/>
    </row>
    <row r="147" customFormat="false" ht="15" hidden="false" customHeight="false" outlineLevel="0" collapsed="false">
      <c r="A147" s="11"/>
      <c r="B147" s="11"/>
      <c r="C147" s="11"/>
      <c r="D147" s="12"/>
      <c r="E147" s="12"/>
      <c r="F147" s="28"/>
      <c r="G147" s="20" t="str">
        <f aca="false">IF(D147="","",IF(E147&lt;&gt;"",IF(F147="Fail","Completed – failed","Completed"),IF(D147&lt;Dashboard!$C$5,"Missed",IF(D147-Dashboard!$C$5&lt;=Lists!$Q$2,"Due soon","Scheduled"))))</f>
        <v/>
      </c>
      <c r="H147" s="13"/>
      <c r="I147" s="33" t="str">
        <f aca="false">IF(OR(D147="",H147=""),"",IF(E147&lt;&gt;"",E147,D147)+H147)</f>
        <v/>
      </c>
      <c r="J147" s="11"/>
      <c r="K147" s="11"/>
    </row>
    <row r="148" customFormat="false" ht="15" hidden="false" customHeight="false" outlineLevel="0" collapsed="false">
      <c r="A148" s="11"/>
      <c r="B148" s="11"/>
      <c r="C148" s="11"/>
      <c r="D148" s="12"/>
      <c r="E148" s="12"/>
      <c r="F148" s="28"/>
      <c r="G148" s="20" t="str">
        <f aca="false">IF(D148="","",IF(E148&lt;&gt;"",IF(F148="Fail","Completed – failed","Completed"),IF(D148&lt;Dashboard!$C$5,"Missed",IF(D148-Dashboard!$C$5&lt;=Lists!$Q$2,"Due soon","Scheduled"))))</f>
        <v/>
      </c>
      <c r="H148" s="13"/>
      <c r="I148" s="33" t="str">
        <f aca="false">IF(OR(D148="",H148=""),"",IF(E148&lt;&gt;"",E148,D148)+H148)</f>
        <v/>
      </c>
      <c r="J148" s="11"/>
      <c r="K148" s="11"/>
    </row>
    <row r="149" customFormat="false" ht="15" hidden="false" customHeight="false" outlineLevel="0" collapsed="false">
      <c r="A149" s="11"/>
      <c r="B149" s="11"/>
      <c r="C149" s="11"/>
      <c r="D149" s="12"/>
      <c r="E149" s="12"/>
      <c r="F149" s="28"/>
      <c r="G149" s="20" t="str">
        <f aca="false">IF(D149="","",IF(E149&lt;&gt;"",IF(F149="Fail","Completed – failed","Completed"),IF(D149&lt;Dashboard!$C$5,"Missed",IF(D149-Dashboard!$C$5&lt;=Lists!$Q$2,"Due soon","Scheduled"))))</f>
        <v/>
      </c>
      <c r="H149" s="13"/>
      <c r="I149" s="33" t="str">
        <f aca="false">IF(OR(D149="",H149=""),"",IF(E149&lt;&gt;"",E149,D149)+H149)</f>
        <v/>
      </c>
      <c r="J149" s="11"/>
      <c r="K149" s="11"/>
    </row>
    <row r="150" customFormat="false" ht="15" hidden="false" customHeight="false" outlineLevel="0" collapsed="false">
      <c r="A150" s="11"/>
      <c r="B150" s="11"/>
      <c r="C150" s="11"/>
      <c r="D150" s="12"/>
      <c r="E150" s="12"/>
      <c r="F150" s="28"/>
      <c r="G150" s="20" t="str">
        <f aca="false">IF(D150="","",IF(E150&lt;&gt;"",IF(F150="Fail","Completed – failed","Completed"),IF(D150&lt;Dashboard!$C$5,"Missed",IF(D150-Dashboard!$C$5&lt;=Lists!$Q$2,"Due soon","Scheduled"))))</f>
        <v/>
      </c>
      <c r="H150" s="13"/>
      <c r="I150" s="33" t="str">
        <f aca="false">IF(OR(D150="",H150=""),"",IF(E150&lt;&gt;"",E150,D150)+H150)</f>
        <v/>
      </c>
      <c r="J150" s="11"/>
      <c r="K150" s="11"/>
    </row>
    <row r="151" customFormat="false" ht="15" hidden="false" customHeight="false" outlineLevel="0" collapsed="false">
      <c r="A151" s="11"/>
      <c r="B151" s="11"/>
      <c r="C151" s="11"/>
      <c r="D151" s="12"/>
      <c r="E151" s="12"/>
      <c r="F151" s="28"/>
      <c r="G151" s="20" t="str">
        <f aca="false">IF(D151="","",IF(E151&lt;&gt;"",IF(F151="Fail","Completed – failed","Completed"),IF(D151&lt;Dashboard!$C$5,"Missed",IF(D151-Dashboard!$C$5&lt;=Lists!$Q$2,"Due soon","Scheduled"))))</f>
        <v/>
      </c>
      <c r="H151" s="13"/>
      <c r="I151" s="33" t="str">
        <f aca="false">IF(OR(D151="",H151=""),"",IF(E151&lt;&gt;"",E151,D151)+H151)</f>
        <v/>
      </c>
      <c r="J151" s="11"/>
      <c r="K151" s="11"/>
    </row>
    <row r="152" customFormat="false" ht="15" hidden="false" customHeight="false" outlineLevel="0" collapsed="false">
      <c r="A152" s="11"/>
      <c r="B152" s="11"/>
      <c r="C152" s="11"/>
      <c r="D152" s="12"/>
      <c r="E152" s="12"/>
      <c r="F152" s="28"/>
      <c r="G152" s="20" t="str">
        <f aca="false">IF(D152="","",IF(E152&lt;&gt;"",IF(F152="Fail","Completed – failed","Completed"),IF(D152&lt;Dashboard!$C$5,"Missed",IF(D152-Dashboard!$C$5&lt;=Lists!$Q$2,"Due soon","Scheduled"))))</f>
        <v/>
      </c>
      <c r="H152" s="13"/>
      <c r="I152" s="33" t="str">
        <f aca="false">IF(OR(D152="",H152=""),"",IF(E152&lt;&gt;"",E152,D152)+H152)</f>
        <v/>
      </c>
      <c r="J152" s="11"/>
      <c r="K152" s="11"/>
    </row>
    <row r="153" customFormat="false" ht="15" hidden="false" customHeight="false" outlineLevel="0" collapsed="false">
      <c r="A153" s="11"/>
      <c r="B153" s="11"/>
      <c r="C153" s="11"/>
      <c r="D153" s="12"/>
      <c r="E153" s="12"/>
      <c r="F153" s="28"/>
      <c r="G153" s="20" t="str">
        <f aca="false">IF(D153="","",IF(E153&lt;&gt;"",IF(F153="Fail","Completed – failed","Completed"),IF(D153&lt;Dashboard!$C$5,"Missed",IF(D153-Dashboard!$C$5&lt;=Lists!$Q$2,"Due soon","Scheduled"))))</f>
        <v/>
      </c>
      <c r="H153" s="13"/>
      <c r="I153" s="33" t="str">
        <f aca="false">IF(OR(D153="",H153=""),"",IF(E153&lt;&gt;"",E153,D153)+H153)</f>
        <v/>
      </c>
      <c r="J153" s="11"/>
      <c r="K153" s="11"/>
    </row>
    <row r="154" customFormat="false" ht="15" hidden="false" customHeight="false" outlineLevel="0" collapsed="false">
      <c r="A154" s="11"/>
      <c r="B154" s="11"/>
      <c r="C154" s="11"/>
      <c r="D154" s="12"/>
      <c r="E154" s="12"/>
      <c r="F154" s="28"/>
      <c r="G154" s="20" t="str">
        <f aca="false">IF(D154="","",IF(E154&lt;&gt;"",IF(F154="Fail","Completed – failed","Completed"),IF(D154&lt;Dashboard!$C$5,"Missed",IF(D154-Dashboard!$C$5&lt;=Lists!$Q$2,"Due soon","Scheduled"))))</f>
        <v/>
      </c>
      <c r="H154" s="13"/>
      <c r="I154" s="33" t="str">
        <f aca="false">IF(OR(D154="",H154=""),"",IF(E154&lt;&gt;"",E154,D154)+H154)</f>
        <v/>
      </c>
      <c r="J154" s="11"/>
      <c r="K154" s="11"/>
    </row>
  </sheetData>
  <conditionalFormatting sqref="G5:G15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1">
      <formula>"Scheduled"</formula>
    </cfRule>
    <cfRule type="cellIs" priority="5" operator="equal" aboveAverage="0" equalAverage="0" bottom="0" percent="0" rank="0" text="" dxfId="1">
      <formula>"Completed – failed"</formula>
    </cfRule>
    <cfRule type="cellIs" priority="6" operator="equal" aboveAverage="0" equalAverage="0" bottom="0" percent="0" rank="0" text="" dxfId="2">
      <formula>"Missed"</formula>
    </cfRule>
  </conditionalFormatting>
  <conditionalFormatting sqref="F5:F154">
    <cfRule type="cellIs" priority="7" operator="equal" aboveAverage="0" equalAverage="0" bottom="0" percent="0" rank="0" text="" dxfId="0">
      <formula>"Pass"</formula>
    </cfRule>
    <cfRule type="cellIs" priority="8" operator="equal" aboveAverage="0" equalAverage="0" bottom="0" percent="0" rank="0" text="" dxfId="2">
      <formula>"Fail"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C5:C154" type="list">
      <formula1>Lists!$J$2:$J$10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5:F154" type="list">
      <formula1>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36"/>
  </cols>
  <sheetData>
    <row r="1" customFormat="false" ht="19.7" hidden="false" customHeight="false" outlineLevel="0" collapsed="false">
      <c r="A1" s="1" t="s">
        <v>284</v>
      </c>
      <c r="B1" s="2"/>
      <c r="C1" s="2"/>
      <c r="D1" s="2"/>
    </row>
    <row r="2" customFormat="false" ht="15" hidden="false" customHeight="false" outlineLevel="0" collapsed="false">
      <c r="A2" s="3" t="s">
        <v>285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10" t="s">
        <v>123</v>
      </c>
      <c r="B4" s="11" t="s">
        <v>124</v>
      </c>
      <c r="C4" s="11"/>
      <c r="D4" s="2"/>
    </row>
    <row r="5" customFormat="false" ht="15" hidden="false" customHeight="false" outlineLevel="0" collapsed="false">
      <c r="A5" s="10" t="s">
        <v>286</v>
      </c>
      <c r="B5" s="30" t="str">
        <f aca="false">IFERROR(INDEX('Incident Log'!F5:F64,MATCH(B4,'Incident Log'!A5:A64,0)),"Ref not found")</f>
        <v>Electrical Machines Lab</v>
      </c>
      <c r="C5" s="30"/>
      <c r="D5" s="2"/>
    </row>
    <row r="6" customFormat="false" ht="26.85" hidden="false" customHeight="true" outlineLevel="0" collapsed="false">
      <c r="A6" s="10" t="s">
        <v>287</v>
      </c>
      <c r="B6" s="11" t="s">
        <v>106</v>
      </c>
      <c r="C6" s="11"/>
      <c r="D6" s="2"/>
    </row>
    <row r="7" customFormat="false" ht="15" hidden="false" customHeight="false" outlineLevel="0" collapsed="false">
      <c r="A7" s="10" t="s">
        <v>288</v>
      </c>
      <c r="B7" s="12" t="n">
        <v>46290</v>
      </c>
      <c r="C7" s="1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31.5" hidden="false" customHeight="true" outlineLevel="0" collapsed="false">
      <c r="A9" s="14" t="s">
        <v>44</v>
      </c>
      <c r="B9" s="14" t="s">
        <v>289</v>
      </c>
      <c r="C9" s="14" t="s">
        <v>50</v>
      </c>
      <c r="D9" s="14" t="s">
        <v>290</v>
      </c>
    </row>
    <row r="10" customFormat="false" ht="15" hidden="false" customHeight="false" outlineLevel="0" collapsed="false">
      <c r="A10" s="15" t="n">
        <v>1</v>
      </c>
      <c r="B10" s="6" t="s">
        <v>291</v>
      </c>
      <c r="C10" s="28" t="s">
        <v>113</v>
      </c>
      <c r="D10" s="11"/>
    </row>
    <row r="11" customFormat="false" ht="15" hidden="false" customHeight="false" outlineLevel="0" collapsed="false">
      <c r="A11" s="15" t="n">
        <v>2</v>
      </c>
      <c r="B11" s="6" t="s">
        <v>292</v>
      </c>
      <c r="C11" s="28" t="s">
        <v>113</v>
      </c>
      <c r="D11" s="11"/>
    </row>
    <row r="12" customFormat="false" ht="15" hidden="false" customHeight="false" outlineLevel="0" collapsed="false">
      <c r="A12" s="15" t="n">
        <v>3</v>
      </c>
      <c r="B12" s="6" t="s">
        <v>293</v>
      </c>
      <c r="C12" s="28" t="s">
        <v>113</v>
      </c>
      <c r="D12" s="11"/>
    </row>
    <row r="13" customFormat="false" ht="15" hidden="false" customHeight="false" outlineLevel="0" collapsed="false">
      <c r="A13" s="15" t="n">
        <v>4</v>
      </c>
      <c r="B13" s="6" t="s">
        <v>294</v>
      </c>
      <c r="C13" s="28" t="s">
        <v>113</v>
      </c>
      <c r="D13" s="11"/>
    </row>
    <row r="14" customFormat="false" ht="15" hidden="false" customHeight="false" outlineLevel="0" collapsed="false">
      <c r="A14" s="15" t="n">
        <v>5</v>
      </c>
      <c r="B14" s="6" t="s">
        <v>295</v>
      </c>
      <c r="C14" s="28" t="s">
        <v>113</v>
      </c>
      <c r="D14" s="11"/>
    </row>
    <row r="15" customFormat="false" ht="15" hidden="false" customHeight="false" outlineLevel="0" collapsed="false">
      <c r="A15" s="15" t="n">
        <v>6</v>
      </c>
      <c r="B15" s="6" t="s">
        <v>296</v>
      </c>
      <c r="C15" s="28" t="s">
        <v>113</v>
      </c>
      <c r="D15" s="11"/>
    </row>
    <row r="16" customFormat="false" ht="15" hidden="false" customHeight="false" outlineLevel="0" collapsed="false">
      <c r="A16" s="15" t="n">
        <v>7</v>
      </c>
      <c r="B16" s="6" t="s">
        <v>297</v>
      </c>
      <c r="C16" s="28" t="s">
        <v>113</v>
      </c>
      <c r="D16" s="11"/>
    </row>
    <row r="17" customFormat="false" ht="15" hidden="false" customHeight="false" outlineLevel="0" collapsed="false">
      <c r="A17" s="15" t="n">
        <v>8</v>
      </c>
      <c r="B17" s="6" t="s">
        <v>298</v>
      </c>
      <c r="C17" s="28" t="s">
        <v>113</v>
      </c>
      <c r="D17" s="11"/>
    </row>
    <row r="18" customFormat="false" ht="15" hidden="false" customHeight="false" outlineLevel="0" collapsed="false">
      <c r="A18" s="15" t="n">
        <v>9</v>
      </c>
      <c r="B18" s="6" t="s">
        <v>299</v>
      </c>
      <c r="C18" s="28" t="s">
        <v>113</v>
      </c>
      <c r="D18" s="11"/>
    </row>
    <row r="19" customFormat="false" ht="15" hidden="false" customHeight="false" outlineLevel="0" collapsed="false">
      <c r="A19" s="15" t="n">
        <v>10</v>
      </c>
      <c r="B19" s="6" t="s">
        <v>300</v>
      </c>
      <c r="C19" s="28" t="s">
        <v>191</v>
      </c>
      <c r="D19" s="11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10" t="s">
        <v>301</v>
      </c>
      <c r="C21" s="20" t="str">
        <f aca="false">COUNTIF(C10:C19,"Yes")&amp;" / "&amp;(10-COUNTIF(C10:C19,"N/A"))</f>
        <v>9 / 9</v>
      </c>
      <c r="D21" s="2"/>
    </row>
    <row r="22" customFormat="false" ht="15" hidden="false" customHeight="false" outlineLevel="0" collapsed="false">
      <c r="A22" s="2"/>
      <c r="B22" s="10" t="s">
        <v>302</v>
      </c>
      <c r="C22" s="20" t="str">
        <f aca="false">IF(COUNTBLANK(C10:C19)&gt;0,"INCOMPLETE",IF(AND(B6="Yes",C19&lt;&gt;"Yes"),"NOT CLEARED – formal safety clearance required",IF(COUNTIF(C10:C19,"No")&gt;0,"NOT CLEARED – keep closed","CLEARED TO REOPEN")))</f>
        <v>CLEARED TO REOPEN</v>
      </c>
      <c r="D22" s="20"/>
    </row>
  </sheetData>
  <mergeCells count="5">
    <mergeCell ref="B4:C4"/>
    <mergeCell ref="B5:C5"/>
    <mergeCell ref="B6:C6"/>
    <mergeCell ref="B7:C7"/>
    <mergeCell ref="C22:D22"/>
  </mergeCells>
  <conditionalFormatting sqref="C10:C1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"No"</formula>
    </cfRule>
  </conditionalFormatting>
  <conditionalFormatting sqref="C22">
    <cfRule type="cellIs" priority="5" operator="equal" aboveAverage="0" equalAverage="0" bottom="0" percent="0" rank="0" text="" dxfId="0">
      <formula>"CLEARED TO REOPEN"</formula>
    </cfRule>
    <cfRule type="cellIs" priority="6" operator="equal" aboveAverage="0" equalAverage="0" bottom="0" percent="0" rank="0" text="" dxfId="1">
      <formula>"INCOMPLETE"</formula>
    </cfRule>
    <cfRule type="cellIs" priority="7" operator="equal" aboveAverage="0" equalAverage="0" bottom="0" percent="0" rank="0" text="" dxfId="2">
      <formula>"NOT CLEARED – keep closed"</formula>
    </cfRule>
    <cfRule type="cellIs" priority="8" operator="equal" aboveAverage="0" equalAverage="0" bottom="0" percent="0" rank="0" text="" dxfId="2">
      <formula>"NOT CLEARED – formal safety clearance required"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6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C10:C19" type="list">
      <formula1>Lists!$B$2:$B$4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303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304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14" t="s">
        <v>305</v>
      </c>
      <c r="B4" s="14" t="s">
        <v>306</v>
      </c>
      <c r="C4" s="14" t="s">
        <v>307</v>
      </c>
      <c r="D4" s="14" t="s">
        <v>221</v>
      </c>
      <c r="E4" s="14" t="s">
        <v>308</v>
      </c>
      <c r="F4" s="14" t="s">
        <v>309</v>
      </c>
      <c r="G4" s="14" t="s">
        <v>310</v>
      </c>
      <c r="H4" s="14" t="s">
        <v>311</v>
      </c>
      <c r="I4" s="14" t="s">
        <v>312</v>
      </c>
    </row>
    <row r="5" customFormat="false" ht="15" hidden="false" customHeight="false" outlineLevel="0" collapsed="false">
      <c r="A5" s="16" t="s">
        <v>313</v>
      </c>
      <c r="B5" s="28" t="s">
        <v>314</v>
      </c>
      <c r="C5" s="28" t="s">
        <v>314</v>
      </c>
      <c r="D5" s="28" t="s">
        <v>315</v>
      </c>
      <c r="E5" s="28" t="s">
        <v>316</v>
      </c>
      <c r="F5" s="28" t="s">
        <v>317</v>
      </c>
      <c r="G5" s="28" t="s">
        <v>317</v>
      </c>
      <c r="H5" s="27" t="n">
        <f aca="false">COUNTIF(B5:G5,"A")</f>
        <v>1</v>
      </c>
      <c r="I5" s="20" t="str">
        <f aca="false">IF(H5=0,"No accountable owner",IF(H5&gt;1,"Shared accountability – confirm",IF(COUNTIF(B5:G5,"R")=0,"No responsible role","OK")))</f>
        <v>OK</v>
      </c>
    </row>
    <row r="6" customFormat="false" ht="15" hidden="false" customHeight="false" outlineLevel="0" collapsed="false">
      <c r="A6" s="16" t="s">
        <v>318</v>
      </c>
      <c r="B6" s="28" t="s">
        <v>314</v>
      </c>
      <c r="C6" s="28" t="s">
        <v>314</v>
      </c>
      <c r="D6" s="28" t="s">
        <v>315</v>
      </c>
      <c r="E6" s="28" t="s">
        <v>316</v>
      </c>
      <c r="F6" s="28" t="s">
        <v>317</v>
      </c>
      <c r="G6" s="28" t="s">
        <v>317</v>
      </c>
      <c r="H6" s="27" t="n">
        <f aca="false">COUNTIF(B6:G6,"A")</f>
        <v>1</v>
      </c>
      <c r="I6" s="20" t="str">
        <f aca="false">IF(H6=0,"No accountable owner",IF(H6&gt;1,"Shared accountability – confirm",IF(COUNTIF(B6:G6,"R")=0,"No responsible role","OK")))</f>
        <v>OK</v>
      </c>
    </row>
    <row r="7" customFormat="false" ht="15" hidden="false" customHeight="false" outlineLevel="0" collapsed="false">
      <c r="A7" s="16" t="s">
        <v>319</v>
      </c>
      <c r="B7" s="28" t="s">
        <v>316</v>
      </c>
      <c r="C7" s="28" t="s">
        <v>316</v>
      </c>
      <c r="D7" s="28" t="s">
        <v>315</v>
      </c>
      <c r="E7" s="28" t="s">
        <v>314</v>
      </c>
      <c r="F7" s="28" t="s">
        <v>317</v>
      </c>
      <c r="G7" s="28" t="s">
        <v>317</v>
      </c>
      <c r="H7" s="27" t="n">
        <f aca="false">COUNTIF(B7:G7,"A")</f>
        <v>1</v>
      </c>
      <c r="I7" s="20" t="str">
        <f aca="false">IF(H7=0,"No accountable owner",IF(H7&gt;1,"Shared accountability – confirm",IF(COUNTIF(B7:G7,"R")=0,"No responsible role","OK")))</f>
        <v>OK</v>
      </c>
    </row>
    <row r="8" customFormat="false" ht="15" hidden="false" customHeight="false" outlineLevel="0" collapsed="false">
      <c r="A8" s="16" t="s">
        <v>320</v>
      </c>
      <c r="B8" s="28" t="s">
        <v>314</v>
      </c>
      <c r="C8" s="28" t="s">
        <v>316</v>
      </c>
      <c r="D8" s="28" t="s">
        <v>315</v>
      </c>
      <c r="E8" s="28" t="s">
        <v>317</v>
      </c>
      <c r="F8" s="28" t="s">
        <v>316</v>
      </c>
      <c r="G8" s="28" t="s">
        <v>317</v>
      </c>
      <c r="H8" s="27" t="n">
        <f aca="false">COUNTIF(B8:G8,"A")</f>
        <v>1</v>
      </c>
      <c r="I8" s="20" t="str">
        <f aca="false">IF(H8=0,"No accountable owner",IF(H8&gt;1,"Shared accountability – confirm",IF(COUNTIF(B8:G8,"R")=0,"No responsible role","OK")))</f>
        <v>OK</v>
      </c>
    </row>
    <row r="9" customFormat="false" ht="15" hidden="false" customHeight="false" outlineLevel="0" collapsed="false">
      <c r="A9" s="16" t="s">
        <v>321</v>
      </c>
      <c r="B9" s="28" t="s">
        <v>314</v>
      </c>
      <c r="C9" s="28" t="s">
        <v>314</v>
      </c>
      <c r="D9" s="28" t="s">
        <v>315</v>
      </c>
      <c r="E9" s="28" t="s">
        <v>316</v>
      </c>
      <c r="F9" s="28" t="s">
        <v>316</v>
      </c>
      <c r="G9" s="28" t="s">
        <v>317</v>
      </c>
      <c r="H9" s="27" t="n">
        <f aca="false">COUNTIF(B9:G9,"A")</f>
        <v>1</v>
      </c>
      <c r="I9" s="20" t="str">
        <f aca="false">IF(H9=0,"No accountable owner",IF(H9&gt;1,"Shared accountability – confirm",IF(COUNTIF(B9:G9,"R")=0,"No responsible role","OK")))</f>
        <v>OK</v>
      </c>
    </row>
    <row r="10" customFormat="false" ht="26.85" hidden="false" customHeight="false" outlineLevel="0" collapsed="false">
      <c r="A10" s="16" t="s">
        <v>322</v>
      </c>
      <c r="B10" s="28" t="s">
        <v>316</v>
      </c>
      <c r="C10" s="28" t="s">
        <v>317</v>
      </c>
      <c r="D10" s="28" t="s">
        <v>316</v>
      </c>
      <c r="E10" s="28" t="s">
        <v>317</v>
      </c>
      <c r="F10" s="28" t="s">
        <v>314</v>
      </c>
      <c r="G10" s="28" t="s">
        <v>315</v>
      </c>
      <c r="H10" s="27" t="n">
        <f aca="false">COUNTIF(B10:G10,"A")</f>
        <v>1</v>
      </c>
      <c r="I10" s="20" t="str">
        <f aca="false">IF(H10=0,"No accountable owner",IF(H10&gt;1,"Shared accountability – confirm",IF(COUNTIF(B10:G10,"R")=0,"No responsible role","OK")))</f>
        <v>OK</v>
      </c>
    </row>
    <row r="11" customFormat="false" ht="15" hidden="false" customHeight="false" outlineLevel="0" collapsed="false">
      <c r="A11" s="16" t="s">
        <v>192</v>
      </c>
      <c r="B11" s="28" t="s">
        <v>316</v>
      </c>
      <c r="C11" s="28" t="s">
        <v>314</v>
      </c>
      <c r="D11" s="28" t="s">
        <v>315</v>
      </c>
      <c r="E11" s="28" t="s">
        <v>314</v>
      </c>
      <c r="F11" s="28" t="s">
        <v>317</v>
      </c>
      <c r="G11" s="28" t="s">
        <v>317</v>
      </c>
      <c r="H11" s="27" t="n">
        <f aca="false">COUNTIF(B11:G11,"A")</f>
        <v>1</v>
      </c>
      <c r="I11" s="20" t="str">
        <f aca="false">IF(H11=0,"No accountable owner",IF(H11&gt;1,"Shared accountability – confirm",IF(COUNTIF(B11:G11,"R")=0,"No responsible role","OK")))</f>
        <v>OK</v>
      </c>
    </row>
    <row r="12" customFormat="false" ht="15" hidden="false" customHeight="false" outlineLevel="0" collapsed="false">
      <c r="A12" s="16" t="s">
        <v>323</v>
      </c>
      <c r="B12" s="28" t="s">
        <v>314</v>
      </c>
      <c r="C12" s="28" t="s">
        <v>314</v>
      </c>
      <c r="D12" s="28" t="s">
        <v>315</v>
      </c>
      <c r="E12" s="28" t="s">
        <v>316</v>
      </c>
      <c r="F12" s="28" t="s">
        <v>316</v>
      </c>
      <c r="G12" s="28" t="s">
        <v>317</v>
      </c>
      <c r="H12" s="27" t="n">
        <f aca="false">COUNTIF(B12:G12,"A")</f>
        <v>1</v>
      </c>
      <c r="I12" s="20" t="str">
        <f aca="false">IF(H12=0,"No accountable owner",IF(H12&gt;1,"Shared accountability – confirm",IF(COUNTIF(B12:G12,"R")=0,"No responsible role","OK")))</f>
        <v>OK</v>
      </c>
    </row>
    <row r="13" customFormat="false" ht="15" hidden="false" customHeight="false" outlineLevel="0" collapsed="false">
      <c r="A13" s="16" t="s">
        <v>324</v>
      </c>
      <c r="B13" s="28" t="s">
        <v>316</v>
      </c>
      <c r="C13" s="28" t="s">
        <v>316</v>
      </c>
      <c r="D13" s="28" t="s">
        <v>314</v>
      </c>
      <c r="E13" s="28" t="s">
        <v>314</v>
      </c>
      <c r="F13" s="28" t="s">
        <v>315</v>
      </c>
      <c r="G13" s="28" t="s">
        <v>317</v>
      </c>
      <c r="H13" s="27" t="n">
        <f aca="false">COUNTIF(B13:G13,"A")</f>
        <v>1</v>
      </c>
      <c r="I13" s="20" t="str">
        <f aca="false">IF(H13=0,"No accountable owner",IF(H13&gt;1,"Shared accountability – confirm",IF(COUNTIF(B13:G13,"R")=0,"No responsible role","OK")))</f>
        <v>OK</v>
      </c>
    </row>
    <row r="14" customFormat="false" ht="26.85" hidden="false" customHeight="false" outlineLevel="0" collapsed="false">
      <c r="A14" s="16" t="s">
        <v>325</v>
      </c>
      <c r="B14" s="28" t="s">
        <v>316</v>
      </c>
      <c r="C14" s="28" t="s">
        <v>316</v>
      </c>
      <c r="D14" s="28" t="s">
        <v>314</v>
      </c>
      <c r="E14" s="28" t="s">
        <v>314</v>
      </c>
      <c r="F14" s="28" t="s">
        <v>315</v>
      </c>
      <c r="G14" s="28" t="s">
        <v>315</v>
      </c>
      <c r="H14" s="27" t="n">
        <f aca="false">COUNTIF(B14:G14,"A")</f>
        <v>2</v>
      </c>
      <c r="I14" s="20" t="str">
        <f aca="false">IF(H14=0,"No accountable owner",IF(H14&gt;1,"Shared accountability – confirm",IF(COUNTIF(B14:G14,"R")=0,"No responsible role","OK")))</f>
        <v>Shared accountability – confirm</v>
      </c>
    </row>
    <row r="15" customFormat="false" ht="26.85" hidden="false" customHeight="false" outlineLevel="0" collapsed="false">
      <c r="A15" s="16" t="s">
        <v>326</v>
      </c>
      <c r="B15" s="28" t="s">
        <v>316</v>
      </c>
      <c r="C15" s="28" t="s">
        <v>316</v>
      </c>
      <c r="D15" s="28" t="s">
        <v>314</v>
      </c>
      <c r="E15" s="28" t="s">
        <v>314</v>
      </c>
      <c r="F15" s="28" t="s">
        <v>315</v>
      </c>
      <c r="G15" s="28" t="s">
        <v>315</v>
      </c>
      <c r="H15" s="27" t="n">
        <f aca="false">COUNTIF(B15:G15,"A")</f>
        <v>2</v>
      </c>
      <c r="I15" s="20" t="str">
        <f aca="false">IF(H15=0,"No accountable owner",IF(H15&gt;1,"Shared accountability – confirm",IF(COUNTIF(B15:G15,"R")=0,"No responsible role","OK")))</f>
        <v>Shared accountability – confirm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6" t="s">
        <v>327</v>
      </c>
      <c r="B17" s="2"/>
      <c r="C17" s="2"/>
      <c r="D17" s="2"/>
      <c r="E17" s="2"/>
      <c r="F17" s="2"/>
      <c r="G17" s="2"/>
      <c r="H17" s="2"/>
      <c r="I17" s="2"/>
    </row>
  </sheetData>
  <conditionalFormatting sqref="B5:G15">
    <cfRule type="cellIs" priority="2" operator="equal" aboveAverage="0" equalAverage="0" bottom="0" percent="0" rank="0" text="" dxfId="4">
      <formula>"R"</formula>
    </cfRule>
    <cfRule type="cellIs" priority="3" operator="equal" aboveAverage="0" equalAverage="0" bottom="0" percent="0" rank="0" text="" dxfId="2">
      <formula>"A"</formula>
    </cfRule>
    <cfRule type="cellIs" priority="4" operator="equal" aboveAverage="0" equalAverage="0" bottom="0" percent="0" rank="0" text="" dxfId="1">
      <formula>"C"</formula>
    </cfRule>
    <cfRule type="cellIs" priority="5" operator="equal" aboveAverage="0" equalAverage="0" bottom="0" percent="0" rank="0" text="" dxfId="5">
      <formula>"I"</formula>
    </cfRule>
  </conditionalFormatting>
  <conditionalFormatting sqref="I5:I15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"Shared accountability – confirm"</formula>
    </cfRule>
    <cfRule type="cellIs" priority="8" operator="equal" aboveAverage="0" equalAverage="0" bottom="0" percent="0" rank="0" text="" dxfId="2">
      <formula>"No accountable owner"</formula>
    </cfRule>
    <cfRule type="cellIs" priority="9" operator="equal" aboveAverage="0" equalAverage="0" bottom="0" percent="0" rank="0" text="" dxfId="2">
      <formula>"No responsible role"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B5:G15" type="list">
      <formula1>Lists!$N$2:$N$5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4" t="s">
        <v>330</v>
      </c>
      <c r="B4" s="14" t="s">
        <v>331</v>
      </c>
      <c r="C4" s="14" t="s">
        <v>332</v>
      </c>
      <c r="D4" s="14" t="s">
        <v>333</v>
      </c>
      <c r="E4" s="14" t="s">
        <v>334</v>
      </c>
      <c r="F4" s="14" t="s">
        <v>263</v>
      </c>
      <c r="G4" s="14" t="s">
        <v>335</v>
      </c>
      <c r="H4" s="14" t="s">
        <v>336</v>
      </c>
      <c r="I4" s="14" t="s">
        <v>50</v>
      </c>
      <c r="J4" s="14" t="s">
        <v>337</v>
      </c>
      <c r="K4" s="14" t="s">
        <v>216</v>
      </c>
    </row>
    <row r="5" customFormat="false" ht="15" hidden="false" customHeight="false" outlineLevel="0" collapsed="false">
      <c r="A5" s="11" t="s">
        <v>338</v>
      </c>
      <c r="B5" s="11" t="s">
        <v>339</v>
      </c>
      <c r="C5" s="11" t="s">
        <v>340</v>
      </c>
      <c r="D5" s="28" t="s">
        <v>113</v>
      </c>
      <c r="E5" s="11" t="s">
        <v>341</v>
      </c>
      <c r="F5" s="12" t="n">
        <v>46091</v>
      </c>
      <c r="G5" s="13" t="n">
        <v>12</v>
      </c>
      <c r="H5" s="33" t="n">
        <f aca="false">IF(OR(F5="",G5=""),"",EDATE(F5,G5))</f>
        <v>46456</v>
      </c>
      <c r="I5" s="20" t="str">
        <f aca="false">IF(A5="","",IF(D5="No","Not required",IF(H5="","Not trained",IF(H5&lt;Dashboard!$C$5,"Expired",IF(H5-Dashboard!$C$5&lt;=Lists!$Q$3,"Expiring","Current")))))</f>
        <v>Current</v>
      </c>
      <c r="J5" s="28" t="s">
        <v>113</v>
      </c>
      <c r="K5" s="11"/>
    </row>
    <row r="6" customFormat="false" ht="26.85" hidden="false" customHeight="false" outlineLevel="0" collapsed="false">
      <c r="A6" s="11" t="s">
        <v>342</v>
      </c>
      <c r="B6" s="11" t="s">
        <v>343</v>
      </c>
      <c r="C6" s="11" t="s">
        <v>306</v>
      </c>
      <c r="D6" s="28" t="s">
        <v>113</v>
      </c>
      <c r="E6" s="11" t="s">
        <v>344</v>
      </c>
      <c r="F6" s="12" t="n">
        <v>45601</v>
      </c>
      <c r="G6" s="13" t="n">
        <v>24</v>
      </c>
      <c r="H6" s="33" t="n">
        <f aca="false">IF(OR(F6="",G6=""),"",EDATE(F6,G6))</f>
        <v>46331</v>
      </c>
      <c r="I6" s="20" t="str">
        <f aca="false">IF(A6="","",IF(D6="No","Not required",IF(H6="","Not trained",IF(H6&lt;Dashboard!$C$5,"Expired",IF(H6-Dashboard!$C$5&lt;=Lists!$Q$3,"Expiring","Current")))))</f>
        <v>Expiring</v>
      </c>
      <c r="J6" s="28" t="s">
        <v>113</v>
      </c>
      <c r="K6" s="11"/>
    </row>
    <row r="7" customFormat="false" ht="15" hidden="false" customHeight="false" outlineLevel="0" collapsed="false">
      <c r="A7" s="11" t="s">
        <v>345</v>
      </c>
      <c r="B7" s="11" t="s">
        <v>346</v>
      </c>
      <c r="C7" s="11" t="s">
        <v>307</v>
      </c>
      <c r="D7" s="28" t="s">
        <v>113</v>
      </c>
      <c r="E7" s="11" t="s">
        <v>319</v>
      </c>
      <c r="F7" s="12" t="n">
        <v>45950</v>
      </c>
      <c r="G7" s="13" t="n">
        <v>12</v>
      </c>
      <c r="H7" s="33" t="n">
        <f aca="false">IF(OR(F7="",G7=""),"",EDATE(F7,G7))</f>
        <v>46315</v>
      </c>
      <c r="I7" s="20" t="str">
        <f aca="false">IF(A7="","",IF(D7="No","Not required",IF(H7="","Not trained",IF(H7&lt;Dashboard!$C$5,"Expired",IF(H7-Dashboard!$C$5&lt;=Lists!$Q$3,"Expiring","Current")))))</f>
        <v>Expiring</v>
      </c>
      <c r="J7" s="28" t="s">
        <v>113</v>
      </c>
      <c r="K7" s="11"/>
    </row>
    <row r="8" customFormat="false" ht="26.85" hidden="false" customHeight="false" outlineLevel="0" collapsed="false">
      <c r="A8" s="11" t="s">
        <v>347</v>
      </c>
      <c r="B8" s="11" t="s">
        <v>348</v>
      </c>
      <c r="C8" s="11" t="s">
        <v>349</v>
      </c>
      <c r="D8" s="28" t="s">
        <v>113</v>
      </c>
      <c r="E8" s="11" t="s">
        <v>350</v>
      </c>
      <c r="F8" s="12"/>
      <c r="G8" s="13" t="n">
        <v>12</v>
      </c>
      <c r="H8" s="33" t="str">
        <f aca="false">IF(OR(F8="",G8=""),"",EDATE(F8,G8))</f>
        <v/>
      </c>
      <c r="I8" s="20" t="str">
        <f aca="false">IF(A8="","",IF(D8="No","Not required",IF(H8="","Not trained",IF(H8&lt;Dashboard!$C$5,"Expired",IF(H8-Dashboard!$C$5&lt;=Lists!$Q$3,"Expiring","Current")))))</f>
        <v>Not trained</v>
      </c>
      <c r="J8" s="28" t="s">
        <v>106</v>
      </c>
      <c r="K8" s="11" t="s">
        <v>351</v>
      </c>
    </row>
    <row r="9" customFormat="false" ht="15" hidden="false" customHeight="false" outlineLevel="0" collapsed="false">
      <c r="A9" s="11"/>
      <c r="B9" s="11"/>
      <c r="C9" s="11"/>
      <c r="D9" s="28"/>
      <c r="E9" s="11"/>
      <c r="F9" s="12"/>
      <c r="G9" s="13"/>
      <c r="H9" s="33" t="str">
        <f aca="false">IF(OR(F9="",G9=""),"",EDATE(F9,G9))</f>
        <v/>
      </c>
      <c r="I9" s="20" t="str">
        <f aca="false">IF(A9="","",IF(D9="No","Not required",IF(H9="","Not trained",IF(H9&lt;Dashboard!$C$5,"Expired",IF(H9-Dashboard!$C$5&lt;=Lists!$Q$3,"Expiring","Current")))))</f>
        <v/>
      </c>
      <c r="J9" s="28"/>
      <c r="K9" s="11"/>
    </row>
    <row r="10" customFormat="false" ht="15" hidden="false" customHeight="false" outlineLevel="0" collapsed="false">
      <c r="A10" s="11"/>
      <c r="B10" s="11"/>
      <c r="C10" s="11"/>
      <c r="D10" s="28"/>
      <c r="E10" s="11"/>
      <c r="F10" s="12"/>
      <c r="G10" s="13"/>
      <c r="H10" s="33" t="str">
        <f aca="false">IF(OR(F10="",G10=""),"",EDATE(F10,G10))</f>
        <v/>
      </c>
      <c r="I10" s="20" t="str">
        <f aca="false">IF(A10="","",IF(D10="No","Not required",IF(H10="","Not trained",IF(H10&lt;Dashboard!$C$5,"Expired",IF(H10-Dashboard!$C$5&lt;=Lists!$Q$3,"Expiring","Current")))))</f>
        <v/>
      </c>
      <c r="J10" s="28"/>
      <c r="K10" s="11"/>
    </row>
    <row r="11" customFormat="false" ht="15" hidden="false" customHeight="false" outlineLevel="0" collapsed="false">
      <c r="A11" s="11"/>
      <c r="B11" s="11"/>
      <c r="C11" s="11"/>
      <c r="D11" s="28"/>
      <c r="E11" s="11"/>
      <c r="F11" s="12"/>
      <c r="G11" s="13"/>
      <c r="H11" s="33" t="str">
        <f aca="false">IF(OR(F11="",G11=""),"",EDATE(F11,G11))</f>
        <v/>
      </c>
      <c r="I11" s="20" t="str">
        <f aca="false">IF(A11="","",IF(D11="No","Not required",IF(H11="","Not trained",IF(H11&lt;Dashboard!$C$5,"Expired",IF(H11-Dashboard!$C$5&lt;=Lists!$Q$3,"Expiring","Current")))))</f>
        <v/>
      </c>
      <c r="J11" s="28"/>
      <c r="K11" s="11"/>
    </row>
    <row r="12" customFormat="false" ht="15" hidden="false" customHeight="false" outlineLevel="0" collapsed="false">
      <c r="A12" s="11"/>
      <c r="B12" s="11"/>
      <c r="C12" s="11"/>
      <c r="D12" s="28"/>
      <c r="E12" s="11"/>
      <c r="F12" s="12"/>
      <c r="G12" s="13"/>
      <c r="H12" s="33" t="str">
        <f aca="false">IF(OR(F12="",G12=""),"",EDATE(F12,G12))</f>
        <v/>
      </c>
      <c r="I12" s="20" t="str">
        <f aca="false">IF(A12="","",IF(D12="No","Not required",IF(H12="","Not trained",IF(H12&lt;Dashboard!$C$5,"Expired",IF(H12-Dashboard!$C$5&lt;=Lists!$Q$3,"Expiring","Current")))))</f>
        <v/>
      </c>
      <c r="J12" s="28"/>
      <c r="K12" s="11"/>
    </row>
    <row r="13" customFormat="false" ht="15" hidden="false" customHeight="false" outlineLevel="0" collapsed="false">
      <c r="A13" s="11"/>
      <c r="B13" s="11"/>
      <c r="C13" s="11"/>
      <c r="D13" s="28"/>
      <c r="E13" s="11"/>
      <c r="F13" s="12"/>
      <c r="G13" s="13"/>
      <c r="H13" s="33" t="str">
        <f aca="false">IF(OR(F13="",G13=""),"",EDATE(F13,G13))</f>
        <v/>
      </c>
      <c r="I13" s="20" t="str">
        <f aca="false">IF(A13="","",IF(D13="No","Not required",IF(H13="","Not trained",IF(H13&lt;Dashboard!$C$5,"Expired",IF(H13-Dashboard!$C$5&lt;=Lists!$Q$3,"Expiring","Current")))))</f>
        <v/>
      </c>
      <c r="J13" s="28"/>
      <c r="K13" s="11"/>
    </row>
    <row r="14" customFormat="false" ht="15" hidden="false" customHeight="false" outlineLevel="0" collapsed="false">
      <c r="A14" s="11"/>
      <c r="B14" s="11"/>
      <c r="C14" s="11"/>
      <c r="D14" s="28"/>
      <c r="E14" s="11"/>
      <c r="F14" s="12"/>
      <c r="G14" s="13"/>
      <c r="H14" s="33" t="str">
        <f aca="false">IF(OR(F14="",G14=""),"",EDATE(F14,G14))</f>
        <v/>
      </c>
      <c r="I14" s="20" t="str">
        <f aca="false">IF(A14="","",IF(D14="No","Not required",IF(H14="","Not trained",IF(H14&lt;Dashboard!$C$5,"Expired",IF(H14-Dashboard!$C$5&lt;=Lists!$Q$3,"Expiring","Current")))))</f>
        <v/>
      </c>
      <c r="J14" s="28"/>
      <c r="K14" s="11"/>
    </row>
    <row r="15" customFormat="false" ht="15" hidden="false" customHeight="false" outlineLevel="0" collapsed="false">
      <c r="A15" s="11"/>
      <c r="B15" s="11"/>
      <c r="C15" s="11"/>
      <c r="D15" s="28"/>
      <c r="E15" s="11"/>
      <c r="F15" s="12"/>
      <c r="G15" s="13"/>
      <c r="H15" s="33" t="str">
        <f aca="false">IF(OR(F15="",G15=""),"",EDATE(F15,G15))</f>
        <v/>
      </c>
      <c r="I15" s="20" t="str">
        <f aca="false">IF(A15="","",IF(D15="No","Not required",IF(H15="","Not trained",IF(H15&lt;Dashboard!$C$5,"Expired",IF(H15-Dashboard!$C$5&lt;=Lists!$Q$3,"Expiring","Current")))))</f>
        <v/>
      </c>
      <c r="J15" s="28"/>
      <c r="K15" s="11"/>
    </row>
    <row r="16" customFormat="false" ht="15" hidden="false" customHeight="false" outlineLevel="0" collapsed="false">
      <c r="A16" s="11"/>
      <c r="B16" s="11"/>
      <c r="C16" s="11"/>
      <c r="D16" s="28"/>
      <c r="E16" s="11"/>
      <c r="F16" s="12"/>
      <c r="G16" s="13"/>
      <c r="H16" s="33" t="str">
        <f aca="false">IF(OR(F16="",G16=""),"",EDATE(F16,G16))</f>
        <v/>
      </c>
      <c r="I16" s="20" t="str">
        <f aca="false">IF(A16="","",IF(D16="No","Not required",IF(H16="","Not trained",IF(H16&lt;Dashboard!$C$5,"Expired",IF(H16-Dashboard!$C$5&lt;=Lists!$Q$3,"Expiring","Current")))))</f>
        <v/>
      </c>
      <c r="J16" s="28"/>
      <c r="K16" s="11"/>
    </row>
    <row r="17" customFormat="false" ht="15" hidden="false" customHeight="false" outlineLevel="0" collapsed="false">
      <c r="A17" s="11"/>
      <c r="B17" s="11"/>
      <c r="C17" s="11"/>
      <c r="D17" s="28"/>
      <c r="E17" s="11"/>
      <c r="F17" s="12"/>
      <c r="G17" s="13"/>
      <c r="H17" s="33" t="str">
        <f aca="false">IF(OR(F17="",G17=""),"",EDATE(F17,G17))</f>
        <v/>
      </c>
      <c r="I17" s="20" t="str">
        <f aca="false">IF(A17="","",IF(D17="No","Not required",IF(H17="","Not trained",IF(H17&lt;Dashboard!$C$5,"Expired",IF(H17-Dashboard!$C$5&lt;=Lists!$Q$3,"Expiring","Current")))))</f>
        <v/>
      </c>
      <c r="J17" s="28"/>
      <c r="K17" s="11"/>
    </row>
    <row r="18" customFormat="false" ht="15" hidden="false" customHeight="false" outlineLevel="0" collapsed="false">
      <c r="A18" s="11"/>
      <c r="B18" s="11"/>
      <c r="C18" s="11"/>
      <c r="D18" s="28"/>
      <c r="E18" s="11"/>
      <c r="F18" s="12"/>
      <c r="G18" s="13"/>
      <c r="H18" s="33" t="str">
        <f aca="false">IF(OR(F18="",G18=""),"",EDATE(F18,G18))</f>
        <v/>
      </c>
      <c r="I18" s="20" t="str">
        <f aca="false">IF(A18="","",IF(D18="No","Not required",IF(H18="","Not trained",IF(H18&lt;Dashboard!$C$5,"Expired",IF(H18-Dashboard!$C$5&lt;=Lists!$Q$3,"Expiring","Current")))))</f>
        <v/>
      </c>
      <c r="J18" s="28"/>
      <c r="K18" s="11"/>
    </row>
    <row r="19" customFormat="false" ht="15" hidden="false" customHeight="false" outlineLevel="0" collapsed="false">
      <c r="A19" s="11"/>
      <c r="B19" s="11"/>
      <c r="C19" s="11"/>
      <c r="D19" s="28"/>
      <c r="E19" s="11"/>
      <c r="F19" s="12"/>
      <c r="G19" s="13"/>
      <c r="H19" s="33" t="str">
        <f aca="false">IF(OR(F19="",G19=""),"",EDATE(F19,G19))</f>
        <v/>
      </c>
      <c r="I19" s="20" t="str">
        <f aca="false">IF(A19="","",IF(D19="No","Not required",IF(H19="","Not trained",IF(H19&lt;Dashboard!$C$5,"Expired",IF(H19-Dashboard!$C$5&lt;=Lists!$Q$3,"Expiring","Current")))))</f>
        <v/>
      </c>
      <c r="J19" s="28"/>
      <c r="K19" s="11"/>
    </row>
    <row r="20" customFormat="false" ht="15" hidden="false" customHeight="false" outlineLevel="0" collapsed="false">
      <c r="A20" s="11"/>
      <c r="B20" s="11"/>
      <c r="C20" s="11"/>
      <c r="D20" s="28"/>
      <c r="E20" s="11"/>
      <c r="F20" s="12"/>
      <c r="G20" s="13"/>
      <c r="H20" s="33" t="str">
        <f aca="false">IF(OR(F20="",G20=""),"",EDATE(F20,G20))</f>
        <v/>
      </c>
      <c r="I20" s="20" t="str">
        <f aca="false">IF(A20="","",IF(D20="No","Not required",IF(H20="","Not trained",IF(H20&lt;Dashboard!$C$5,"Expired",IF(H20-Dashboard!$C$5&lt;=Lists!$Q$3,"Expiring","Current")))))</f>
        <v/>
      </c>
      <c r="J20" s="28"/>
      <c r="K20" s="11"/>
    </row>
    <row r="21" customFormat="false" ht="15" hidden="false" customHeight="false" outlineLevel="0" collapsed="false">
      <c r="A21" s="11"/>
      <c r="B21" s="11"/>
      <c r="C21" s="11"/>
      <c r="D21" s="28"/>
      <c r="E21" s="11"/>
      <c r="F21" s="12"/>
      <c r="G21" s="13"/>
      <c r="H21" s="33" t="str">
        <f aca="false">IF(OR(F21="",G21=""),"",EDATE(F21,G21))</f>
        <v/>
      </c>
      <c r="I21" s="20" t="str">
        <f aca="false">IF(A21="","",IF(D21="No","Not required",IF(H21="","Not trained",IF(H21&lt;Dashboard!$C$5,"Expired",IF(H21-Dashboard!$C$5&lt;=Lists!$Q$3,"Expiring","Current")))))</f>
        <v/>
      </c>
      <c r="J21" s="28"/>
      <c r="K21" s="11"/>
    </row>
    <row r="22" customFormat="false" ht="15" hidden="false" customHeight="false" outlineLevel="0" collapsed="false">
      <c r="A22" s="11"/>
      <c r="B22" s="11"/>
      <c r="C22" s="11"/>
      <c r="D22" s="28"/>
      <c r="E22" s="11"/>
      <c r="F22" s="12"/>
      <c r="G22" s="13"/>
      <c r="H22" s="33" t="str">
        <f aca="false">IF(OR(F22="",G22=""),"",EDATE(F22,G22))</f>
        <v/>
      </c>
      <c r="I22" s="20" t="str">
        <f aca="false">IF(A22="","",IF(D22="No","Not required",IF(H22="","Not trained",IF(H22&lt;Dashboard!$C$5,"Expired",IF(H22-Dashboard!$C$5&lt;=Lists!$Q$3,"Expiring","Current")))))</f>
        <v/>
      </c>
      <c r="J22" s="28"/>
      <c r="K22" s="11"/>
    </row>
    <row r="23" customFormat="false" ht="15" hidden="false" customHeight="false" outlineLevel="0" collapsed="false">
      <c r="A23" s="11"/>
      <c r="B23" s="11"/>
      <c r="C23" s="11"/>
      <c r="D23" s="28"/>
      <c r="E23" s="11"/>
      <c r="F23" s="12"/>
      <c r="G23" s="13"/>
      <c r="H23" s="33" t="str">
        <f aca="false">IF(OR(F23="",G23=""),"",EDATE(F23,G23))</f>
        <v/>
      </c>
      <c r="I23" s="20" t="str">
        <f aca="false">IF(A23="","",IF(D23="No","Not required",IF(H23="","Not trained",IF(H23&lt;Dashboard!$C$5,"Expired",IF(H23-Dashboard!$C$5&lt;=Lists!$Q$3,"Expiring","Current")))))</f>
        <v/>
      </c>
      <c r="J23" s="28"/>
      <c r="K23" s="11"/>
    </row>
    <row r="24" customFormat="false" ht="15" hidden="false" customHeight="false" outlineLevel="0" collapsed="false">
      <c r="A24" s="11"/>
      <c r="B24" s="11"/>
      <c r="C24" s="11"/>
      <c r="D24" s="28"/>
      <c r="E24" s="11"/>
      <c r="F24" s="12"/>
      <c r="G24" s="13"/>
      <c r="H24" s="33" t="str">
        <f aca="false">IF(OR(F24="",G24=""),"",EDATE(F24,G24))</f>
        <v/>
      </c>
      <c r="I24" s="20" t="str">
        <f aca="false">IF(A24="","",IF(D24="No","Not required",IF(H24="","Not trained",IF(H24&lt;Dashboard!$C$5,"Expired",IF(H24-Dashboard!$C$5&lt;=Lists!$Q$3,"Expiring","Current")))))</f>
        <v/>
      </c>
      <c r="J24" s="28"/>
      <c r="K24" s="11"/>
    </row>
    <row r="25" customFormat="false" ht="15" hidden="false" customHeight="false" outlineLevel="0" collapsed="false">
      <c r="A25" s="11"/>
      <c r="B25" s="11"/>
      <c r="C25" s="11"/>
      <c r="D25" s="28"/>
      <c r="E25" s="11"/>
      <c r="F25" s="12"/>
      <c r="G25" s="13"/>
      <c r="H25" s="33" t="str">
        <f aca="false">IF(OR(F25="",G25=""),"",EDATE(F25,G25))</f>
        <v/>
      </c>
      <c r="I25" s="20" t="str">
        <f aca="false">IF(A25="","",IF(D25="No","Not required",IF(H25="","Not trained",IF(H25&lt;Dashboard!$C$5,"Expired",IF(H25-Dashboard!$C$5&lt;=Lists!$Q$3,"Expiring","Current")))))</f>
        <v/>
      </c>
      <c r="J25" s="28"/>
      <c r="K25" s="11"/>
    </row>
    <row r="26" customFormat="false" ht="15" hidden="false" customHeight="false" outlineLevel="0" collapsed="false">
      <c r="A26" s="11"/>
      <c r="B26" s="11"/>
      <c r="C26" s="11"/>
      <c r="D26" s="28"/>
      <c r="E26" s="11"/>
      <c r="F26" s="12"/>
      <c r="G26" s="13"/>
      <c r="H26" s="33" t="str">
        <f aca="false">IF(OR(F26="",G26=""),"",EDATE(F26,G26))</f>
        <v/>
      </c>
      <c r="I26" s="20" t="str">
        <f aca="false">IF(A26="","",IF(D26="No","Not required",IF(H26="","Not trained",IF(H26&lt;Dashboard!$C$5,"Expired",IF(H26-Dashboard!$C$5&lt;=Lists!$Q$3,"Expiring","Current")))))</f>
        <v/>
      </c>
      <c r="J26" s="28"/>
      <c r="K26" s="11"/>
    </row>
    <row r="27" customFormat="false" ht="15" hidden="false" customHeight="false" outlineLevel="0" collapsed="false">
      <c r="A27" s="11"/>
      <c r="B27" s="11"/>
      <c r="C27" s="11"/>
      <c r="D27" s="28"/>
      <c r="E27" s="11"/>
      <c r="F27" s="12"/>
      <c r="G27" s="13"/>
      <c r="H27" s="33" t="str">
        <f aca="false">IF(OR(F27="",G27=""),"",EDATE(F27,G27))</f>
        <v/>
      </c>
      <c r="I27" s="20" t="str">
        <f aca="false">IF(A27="","",IF(D27="No","Not required",IF(H27="","Not trained",IF(H27&lt;Dashboard!$C$5,"Expired",IF(H27-Dashboard!$C$5&lt;=Lists!$Q$3,"Expiring","Current")))))</f>
        <v/>
      </c>
      <c r="J27" s="28"/>
      <c r="K27" s="11"/>
    </row>
    <row r="28" customFormat="false" ht="15" hidden="false" customHeight="false" outlineLevel="0" collapsed="false">
      <c r="A28" s="11"/>
      <c r="B28" s="11"/>
      <c r="C28" s="11"/>
      <c r="D28" s="28"/>
      <c r="E28" s="11"/>
      <c r="F28" s="12"/>
      <c r="G28" s="13"/>
      <c r="H28" s="33" t="str">
        <f aca="false">IF(OR(F28="",G28=""),"",EDATE(F28,G28))</f>
        <v/>
      </c>
      <c r="I28" s="20" t="str">
        <f aca="false">IF(A28="","",IF(D28="No","Not required",IF(H28="","Not trained",IF(H28&lt;Dashboard!$C$5,"Expired",IF(H28-Dashboard!$C$5&lt;=Lists!$Q$3,"Expiring","Current")))))</f>
        <v/>
      </c>
      <c r="J28" s="28"/>
      <c r="K28" s="11"/>
    </row>
    <row r="29" customFormat="false" ht="15" hidden="false" customHeight="false" outlineLevel="0" collapsed="false">
      <c r="A29" s="11"/>
      <c r="B29" s="11"/>
      <c r="C29" s="11"/>
      <c r="D29" s="28"/>
      <c r="E29" s="11"/>
      <c r="F29" s="12"/>
      <c r="G29" s="13"/>
      <c r="H29" s="33" t="str">
        <f aca="false">IF(OR(F29="",G29=""),"",EDATE(F29,G29))</f>
        <v/>
      </c>
      <c r="I29" s="20" t="str">
        <f aca="false">IF(A29="","",IF(D29="No","Not required",IF(H29="","Not trained",IF(H29&lt;Dashboard!$C$5,"Expired",IF(H29-Dashboard!$C$5&lt;=Lists!$Q$3,"Expiring","Current")))))</f>
        <v/>
      </c>
      <c r="J29" s="28"/>
      <c r="K29" s="11"/>
    </row>
    <row r="30" customFormat="false" ht="15" hidden="false" customHeight="false" outlineLevel="0" collapsed="false">
      <c r="A30" s="11"/>
      <c r="B30" s="11"/>
      <c r="C30" s="11"/>
      <c r="D30" s="28"/>
      <c r="E30" s="11"/>
      <c r="F30" s="12"/>
      <c r="G30" s="13"/>
      <c r="H30" s="33" t="str">
        <f aca="false">IF(OR(F30="",G30=""),"",EDATE(F30,G30))</f>
        <v/>
      </c>
      <c r="I30" s="20" t="str">
        <f aca="false">IF(A30="","",IF(D30="No","Not required",IF(H30="","Not trained",IF(H30&lt;Dashboard!$C$5,"Expired",IF(H30-Dashboard!$C$5&lt;=Lists!$Q$3,"Expiring","Current")))))</f>
        <v/>
      </c>
      <c r="J30" s="28"/>
      <c r="K30" s="11"/>
    </row>
    <row r="31" customFormat="false" ht="15" hidden="false" customHeight="false" outlineLevel="0" collapsed="false">
      <c r="A31" s="11"/>
      <c r="B31" s="11"/>
      <c r="C31" s="11"/>
      <c r="D31" s="28"/>
      <c r="E31" s="11"/>
      <c r="F31" s="12"/>
      <c r="G31" s="13"/>
      <c r="H31" s="33" t="str">
        <f aca="false">IF(OR(F31="",G31=""),"",EDATE(F31,G31))</f>
        <v/>
      </c>
      <c r="I31" s="20" t="str">
        <f aca="false">IF(A31="","",IF(D31="No","Not required",IF(H31="","Not trained",IF(H31&lt;Dashboard!$C$5,"Expired",IF(H31-Dashboard!$C$5&lt;=Lists!$Q$3,"Expiring","Current")))))</f>
        <v/>
      </c>
      <c r="J31" s="28"/>
      <c r="K31" s="11"/>
    </row>
    <row r="32" customFormat="false" ht="15" hidden="false" customHeight="false" outlineLevel="0" collapsed="false">
      <c r="A32" s="11"/>
      <c r="B32" s="11"/>
      <c r="C32" s="11"/>
      <c r="D32" s="28"/>
      <c r="E32" s="11"/>
      <c r="F32" s="12"/>
      <c r="G32" s="13"/>
      <c r="H32" s="33" t="str">
        <f aca="false">IF(OR(F32="",G32=""),"",EDATE(F32,G32))</f>
        <v/>
      </c>
      <c r="I32" s="20" t="str">
        <f aca="false">IF(A32="","",IF(D32="No","Not required",IF(H32="","Not trained",IF(H32&lt;Dashboard!$C$5,"Expired",IF(H32-Dashboard!$C$5&lt;=Lists!$Q$3,"Expiring","Current")))))</f>
        <v/>
      </c>
      <c r="J32" s="28"/>
      <c r="K32" s="11"/>
    </row>
    <row r="33" customFormat="false" ht="15" hidden="false" customHeight="false" outlineLevel="0" collapsed="false">
      <c r="A33" s="11"/>
      <c r="B33" s="11"/>
      <c r="C33" s="11"/>
      <c r="D33" s="28"/>
      <c r="E33" s="11"/>
      <c r="F33" s="12"/>
      <c r="G33" s="13"/>
      <c r="H33" s="33" t="str">
        <f aca="false">IF(OR(F33="",G33=""),"",EDATE(F33,G33))</f>
        <v/>
      </c>
      <c r="I33" s="20" t="str">
        <f aca="false">IF(A33="","",IF(D33="No","Not required",IF(H33="","Not trained",IF(H33&lt;Dashboard!$C$5,"Expired",IF(H33-Dashboard!$C$5&lt;=Lists!$Q$3,"Expiring","Current")))))</f>
        <v/>
      </c>
      <c r="J33" s="28"/>
      <c r="K33" s="11"/>
    </row>
    <row r="34" customFormat="false" ht="15" hidden="false" customHeight="false" outlineLevel="0" collapsed="false">
      <c r="A34" s="11"/>
      <c r="B34" s="11"/>
      <c r="C34" s="11"/>
      <c r="D34" s="28"/>
      <c r="E34" s="11"/>
      <c r="F34" s="12"/>
      <c r="G34" s="13"/>
      <c r="H34" s="33" t="str">
        <f aca="false">IF(OR(F34="",G34=""),"",EDATE(F34,G34))</f>
        <v/>
      </c>
      <c r="I34" s="20" t="str">
        <f aca="false">IF(A34="","",IF(D34="No","Not required",IF(H34="","Not trained",IF(H34&lt;Dashboard!$C$5,"Expired",IF(H34-Dashboard!$C$5&lt;=Lists!$Q$3,"Expiring","Current")))))</f>
        <v/>
      </c>
      <c r="J34" s="28"/>
      <c r="K34" s="11"/>
    </row>
    <row r="35" customFormat="false" ht="15" hidden="false" customHeight="false" outlineLevel="0" collapsed="false">
      <c r="A35" s="11"/>
      <c r="B35" s="11"/>
      <c r="C35" s="11"/>
      <c r="D35" s="28"/>
      <c r="E35" s="11"/>
      <c r="F35" s="12"/>
      <c r="G35" s="13"/>
      <c r="H35" s="33" t="str">
        <f aca="false">IF(OR(F35="",G35=""),"",EDATE(F35,G35))</f>
        <v/>
      </c>
      <c r="I35" s="20" t="str">
        <f aca="false">IF(A35="","",IF(D35="No","Not required",IF(H35="","Not trained",IF(H35&lt;Dashboard!$C$5,"Expired",IF(H35-Dashboard!$C$5&lt;=Lists!$Q$3,"Expiring","Current")))))</f>
        <v/>
      </c>
      <c r="J35" s="28"/>
      <c r="K35" s="11"/>
    </row>
    <row r="36" customFormat="false" ht="15" hidden="false" customHeight="false" outlineLevel="0" collapsed="false">
      <c r="A36" s="11"/>
      <c r="B36" s="11"/>
      <c r="C36" s="11"/>
      <c r="D36" s="28"/>
      <c r="E36" s="11"/>
      <c r="F36" s="12"/>
      <c r="G36" s="13"/>
      <c r="H36" s="33" t="str">
        <f aca="false">IF(OR(F36="",G36=""),"",EDATE(F36,G36))</f>
        <v/>
      </c>
      <c r="I36" s="20" t="str">
        <f aca="false">IF(A36="","",IF(D36="No","Not required",IF(H36="","Not trained",IF(H36&lt;Dashboard!$C$5,"Expired",IF(H36-Dashboard!$C$5&lt;=Lists!$Q$3,"Expiring","Current")))))</f>
        <v/>
      </c>
      <c r="J36" s="28"/>
      <c r="K36" s="11"/>
    </row>
    <row r="37" customFormat="false" ht="15" hidden="false" customHeight="false" outlineLevel="0" collapsed="false">
      <c r="A37" s="11"/>
      <c r="B37" s="11"/>
      <c r="C37" s="11"/>
      <c r="D37" s="28"/>
      <c r="E37" s="11"/>
      <c r="F37" s="12"/>
      <c r="G37" s="13"/>
      <c r="H37" s="33" t="str">
        <f aca="false">IF(OR(F37="",G37=""),"",EDATE(F37,G37))</f>
        <v/>
      </c>
      <c r="I37" s="20" t="str">
        <f aca="false">IF(A37="","",IF(D37="No","Not required",IF(H37="","Not trained",IF(H37&lt;Dashboard!$C$5,"Expired",IF(H37-Dashboard!$C$5&lt;=Lists!$Q$3,"Expiring","Current")))))</f>
        <v/>
      </c>
      <c r="J37" s="28"/>
      <c r="K37" s="11"/>
    </row>
    <row r="38" customFormat="false" ht="15" hidden="false" customHeight="false" outlineLevel="0" collapsed="false">
      <c r="A38" s="11"/>
      <c r="B38" s="11"/>
      <c r="C38" s="11"/>
      <c r="D38" s="28"/>
      <c r="E38" s="11"/>
      <c r="F38" s="12"/>
      <c r="G38" s="13"/>
      <c r="H38" s="33" t="str">
        <f aca="false">IF(OR(F38="",G38=""),"",EDATE(F38,G38))</f>
        <v/>
      </c>
      <c r="I38" s="20" t="str">
        <f aca="false">IF(A38="","",IF(D38="No","Not required",IF(H38="","Not trained",IF(H38&lt;Dashboard!$C$5,"Expired",IF(H38-Dashboard!$C$5&lt;=Lists!$Q$3,"Expiring","Current")))))</f>
        <v/>
      </c>
      <c r="J38" s="28"/>
      <c r="K38" s="11"/>
    </row>
    <row r="39" customFormat="false" ht="15" hidden="false" customHeight="false" outlineLevel="0" collapsed="false">
      <c r="A39" s="11"/>
      <c r="B39" s="11"/>
      <c r="C39" s="11"/>
      <c r="D39" s="28"/>
      <c r="E39" s="11"/>
      <c r="F39" s="12"/>
      <c r="G39" s="13"/>
      <c r="H39" s="33" t="str">
        <f aca="false">IF(OR(F39="",G39=""),"",EDATE(F39,G39))</f>
        <v/>
      </c>
      <c r="I39" s="20" t="str">
        <f aca="false">IF(A39="","",IF(D39="No","Not required",IF(H39="","Not trained",IF(H39&lt;Dashboard!$C$5,"Expired",IF(H39-Dashboard!$C$5&lt;=Lists!$Q$3,"Expiring","Current")))))</f>
        <v/>
      </c>
      <c r="J39" s="28"/>
      <c r="K39" s="11"/>
    </row>
    <row r="40" customFormat="false" ht="15" hidden="false" customHeight="false" outlineLevel="0" collapsed="false">
      <c r="A40" s="11"/>
      <c r="B40" s="11"/>
      <c r="C40" s="11"/>
      <c r="D40" s="28"/>
      <c r="E40" s="11"/>
      <c r="F40" s="12"/>
      <c r="G40" s="13"/>
      <c r="H40" s="33" t="str">
        <f aca="false">IF(OR(F40="",G40=""),"",EDATE(F40,G40))</f>
        <v/>
      </c>
      <c r="I40" s="20" t="str">
        <f aca="false">IF(A40="","",IF(D40="No","Not required",IF(H40="","Not trained",IF(H40&lt;Dashboard!$C$5,"Expired",IF(H40-Dashboard!$C$5&lt;=Lists!$Q$3,"Expiring","Current")))))</f>
        <v/>
      </c>
      <c r="J40" s="28"/>
      <c r="K40" s="11"/>
    </row>
    <row r="41" customFormat="false" ht="15" hidden="false" customHeight="false" outlineLevel="0" collapsed="false">
      <c r="A41" s="11"/>
      <c r="B41" s="11"/>
      <c r="C41" s="11"/>
      <c r="D41" s="28"/>
      <c r="E41" s="11"/>
      <c r="F41" s="12"/>
      <c r="G41" s="13"/>
      <c r="H41" s="33" t="str">
        <f aca="false">IF(OR(F41="",G41=""),"",EDATE(F41,G41))</f>
        <v/>
      </c>
      <c r="I41" s="20" t="str">
        <f aca="false">IF(A41="","",IF(D41="No","Not required",IF(H41="","Not trained",IF(H41&lt;Dashboard!$C$5,"Expired",IF(H41-Dashboard!$C$5&lt;=Lists!$Q$3,"Expiring","Current")))))</f>
        <v/>
      </c>
      <c r="J41" s="28"/>
      <c r="K41" s="11"/>
    </row>
    <row r="42" customFormat="false" ht="15" hidden="false" customHeight="false" outlineLevel="0" collapsed="false">
      <c r="A42" s="11"/>
      <c r="B42" s="11"/>
      <c r="C42" s="11"/>
      <c r="D42" s="28"/>
      <c r="E42" s="11"/>
      <c r="F42" s="12"/>
      <c r="G42" s="13"/>
      <c r="H42" s="33" t="str">
        <f aca="false">IF(OR(F42="",G42=""),"",EDATE(F42,G42))</f>
        <v/>
      </c>
      <c r="I42" s="20" t="str">
        <f aca="false">IF(A42="","",IF(D42="No","Not required",IF(H42="","Not trained",IF(H42&lt;Dashboard!$C$5,"Expired",IF(H42-Dashboard!$C$5&lt;=Lists!$Q$3,"Expiring","Current")))))</f>
        <v/>
      </c>
      <c r="J42" s="28"/>
      <c r="K42" s="11"/>
    </row>
    <row r="43" customFormat="false" ht="15" hidden="false" customHeight="false" outlineLevel="0" collapsed="false">
      <c r="A43" s="11"/>
      <c r="B43" s="11"/>
      <c r="C43" s="11"/>
      <c r="D43" s="28"/>
      <c r="E43" s="11"/>
      <c r="F43" s="12"/>
      <c r="G43" s="13"/>
      <c r="H43" s="33" t="str">
        <f aca="false">IF(OR(F43="",G43=""),"",EDATE(F43,G43))</f>
        <v/>
      </c>
      <c r="I43" s="20" t="str">
        <f aca="false">IF(A43="","",IF(D43="No","Not required",IF(H43="","Not trained",IF(H43&lt;Dashboard!$C$5,"Expired",IF(H43-Dashboard!$C$5&lt;=Lists!$Q$3,"Expiring","Current")))))</f>
        <v/>
      </c>
      <c r="J43" s="28"/>
      <c r="K43" s="11"/>
    </row>
    <row r="44" customFormat="false" ht="15" hidden="false" customHeight="false" outlineLevel="0" collapsed="false">
      <c r="A44" s="11"/>
      <c r="B44" s="11"/>
      <c r="C44" s="11"/>
      <c r="D44" s="28"/>
      <c r="E44" s="11"/>
      <c r="F44" s="12"/>
      <c r="G44" s="13"/>
      <c r="H44" s="33" t="str">
        <f aca="false">IF(OR(F44="",G44=""),"",EDATE(F44,G44))</f>
        <v/>
      </c>
      <c r="I44" s="20" t="str">
        <f aca="false">IF(A44="","",IF(D44="No","Not required",IF(H44="","Not trained",IF(H44&lt;Dashboard!$C$5,"Expired",IF(H44-Dashboard!$C$5&lt;=Lists!$Q$3,"Expiring","Current")))))</f>
        <v/>
      </c>
      <c r="J44" s="28"/>
      <c r="K44" s="11"/>
    </row>
    <row r="45" customFormat="false" ht="15" hidden="false" customHeight="false" outlineLevel="0" collapsed="false">
      <c r="A45" s="11"/>
      <c r="B45" s="11"/>
      <c r="C45" s="11"/>
      <c r="D45" s="28"/>
      <c r="E45" s="11"/>
      <c r="F45" s="12"/>
      <c r="G45" s="13"/>
      <c r="H45" s="33" t="str">
        <f aca="false">IF(OR(F45="",G45=""),"",EDATE(F45,G45))</f>
        <v/>
      </c>
      <c r="I45" s="20" t="str">
        <f aca="false">IF(A45="","",IF(D45="No","Not required",IF(H45="","Not trained",IF(H45&lt;Dashboard!$C$5,"Expired",IF(H45-Dashboard!$C$5&lt;=Lists!$Q$3,"Expiring","Current")))))</f>
        <v/>
      </c>
      <c r="J45" s="28"/>
      <c r="K45" s="11"/>
    </row>
    <row r="46" customFormat="false" ht="15" hidden="false" customHeight="false" outlineLevel="0" collapsed="false">
      <c r="A46" s="11"/>
      <c r="B46" s="11"/>
      <c r="C46" s="11"/>
      <c r="D46" s="28"/>
      <c r="E46" s="11"/>
      <c r="F46" s="12"/>
      <c r="G46" s="13"/>
      <c r="H46" s="33" t="str">
        <f aca="false">IF(OR(F46="",G46=""),"",EDATE(F46,G46))</f>
        <v/>
      </c>
      <c r="I46" s="20" t="str">
        <f aca="false">IF(A46="","",IF(D46="No","Not required",IF(H46="","Not trained",IF(H46&lt;Dashboard!$C$5,"Expired",IF(H46-Dashboard!$C$5&lt;=Lists!$Q$3,"Expiring","Current")))))</f>
        <v/>
      </c>
      <c r="J46" s="28"/>
      <c r="K46" s="11"/>
    </row>
    <row r="47" customFormat="false" ht="15" hidden="false" customHeight="false" outlineLevel="0" collapsed="false">
      <c r="A47" s="11"/>
      <c r="B47" s="11"/>
      <c r="C47" s="11"/>
      <c r="D47" s="28"/>
      <c r="E47" s="11"/>
      <c r="F47" s="12"/>
      <c r="G47" s="13"/>
      <c r="H47" s="33" t="str">
        <f aca="false">IF(OR(F47="",G47=""),"",EDATE(F47,G47))</f>
        <v/>
      </c>
      <c r="I47" s="20" t="str">
        <f aca="false">IF(A47="","",IF(D47="No","Not required",IF(H47="","Not trained",IF(H47&lt;Dashboard!$C$5,"Expired",IF(H47-Dashboard!$C$5&lt;=Lists!$Q$3,"Expiring","Current")))))</f>
        <v/>
      </c>
      <c r="J47" s="28"/>
      <c r="K47" s="11"/>
    </row>
    <row r="48" customFormat="false" ht="15" hidden="false" customHeight="false" outlineLevel="0" collapsed="false">
      <c r="A48" s="11"/>
      <c r="B48" s="11"/>
      <c r="C48" s="11"/>
      <c r="D48" s="28"/>
      <c r="E48" s="11"/>
      <c r="F48" s="12"/>
      <c r="G48" s="13"/>
      <c r="H48" s="33" t="str">
        <f aca="false">IF(OR(F48="",G48=""),"",EDATE(F48,G48))</f>
        <v/>
      </c>
      <c r="I48" s="20" t="str">
        <f aca="false">IF(A48="","",IF(D48="No","Not required",IF(H48="","Not trained",IF(H48&lt;Dashboard!$C$5,"Expired",IF(H48-Dashboard!$C$5&lt;=Lists!$Q$3,"Expiring","Current")))))</f>
        <v/>
      </c>
      <c r="J48" s="28"/>
      <c r="K48" s="11"/>
    </row>
    <row r="49" customFormat="false" ht="15" hidden="false" customHeight="false" outlineLevel="0" collapsed="false">
      <c r="A49" s="11"/>
      <c r="B49" s="11"/>
      <c r="C49" s="11"/>
      <c r="D49" s="28"/>
      <c r="E49" s="11"/>
      <c r="F49" s="12"/>
      <c r="G49" s="13"/>
      <c r="H49" s="33" t="str">
        <f aca="false">IF(OR(F49="",G49=""),"",EDATE(F49,G49))</f>
        <v/>
      </c>
      <c r="I49" s="20" t="str">
        <f aca="false">IF(A49="","",IF(D49="No","Not required",IF(H49="","Not trained",IF(H49&lt;Dashboard!$C$5,"Expired",IF(H49-Dashboard!$C$5&lt;=Lists!$Q$3,"Expiring","Current")))))</f>
        <v/>
      </c>
      <c r="J49" s="28"/>
      <c r="K49" s="11"/>
    </row>
    <row r="50" customFormat="false" ht="15" hidden="false" customHeight="false" outlineLevel="0" collapsed="false">
      <c r="A50" s="11"/>
      <c r="B50" s="11"/>
      <c r="C50" s="11"/>
      <c r="D50" s="28"/>
      <c r="E50" s="11"/>
      <c r="F50" s="12"/>
      <c r="G50" s="13"/>
      <c r="H50" s="33" t="str">
        <f aca="false">IF(OR(F50="",G50=""),"",EDATE(F50,G50))</f>
        <v/>
      </c>
      <c r="I50" s="20" t="str">
        <f aca="false">IF(A50="","",IF(D50="No","Not required",IF(H50="","Not trained",IF(H50&lt;Dashboard!$C$5,"Expired",IF(H50-Dashboard!$C$5&lt;=Lists!$Q$3,"Expiring","Current")))))</f>
        <v/>
      </c>
      <c r="J50" s="28"/>
      <c r="K50" s="11"/>
    </row>
    <row r="51" customFormat="false" ht="15" hidden="false" customHeight="false" outlineLevel="0" collapsed="false">
      <c r="A51" s="11"/>
      <c r="B51" s="11"/>
      <c r="C51" s="11"/>
      <c r="D51" s="28"/>
      <c r="E51" s="11"/>
      <c r="F51" s="12"/>
      <c r="G51" s="13"/>
      <c r="H51" s="33" t="str">
        <f aca="false">IF(OR(F51="",G51=""),"",EDATE(F51,G51))</f>
        <v/>
      </c>
      <c r="I51" s="20" t="str">
        <f aca="false">IF(A51="","",IF(D51="No","Not required",IF(H51="","Not trained",IF(H51&lt;Dashboard!$C$5,"Expired",IF(H51-Dashboard!$C$5&lt;=Lists!$Q$3,"Expiring","Current")))))</f>
        <v/>
      </c>
      <c r="J51" s="28"/>
      <c r="K51" s="11"/>
    </row>
    <row r="52" customFormat="false" ht="15" hidden="false" customHeight="false" outlineLevel="0" collapsed="false">
      <c r="A52" s="11"/>
      <c r="B52" s="11"/>
      <c r="C52" s="11"/>
      <c r="D52" s="28"/>
      <c r="E52" s="11"/>
      <c r="F52" s="12"/>
      <c r="G52" s="13"/>
      <c r="H52" s="33" t="str">
        <f aca="false">IF(OR(F52="",G52=""),"",EDATE(F52,G52))</f>
        <v/>
      </c>
      <c r="I52" s="20" t="str">
        <f aca="false">IF(A52="","",IF(D52="No","Not required",IF(H52="","Not trained",IF(H52&lt;Dashboard!$C$5,"Expired",IF(H52-Dashboard!$C$5&lt;=Lists!$Q$3,"Expiring","Current")))))</f>
        <v/>
      </c>
      <c r="J52" s="28"/>
      <c r="K52" s="11"/>
    </row>
    <row r="53" customFormat="false" ht="15" hidden="false" customHeight="false" outlineLevel="0" collapsed="false">
      <c r="A53" s="11"/>
      <c r="B53" s="11"/>
      <c r="C53" s="11"/>
      <c r="D53" s="28"/>
      <c r="E53" s="11"/>
      <c r="F53" s="12"/>
      <c r="G53" s="13"/>
      <c r="H53" s="33" t="str">
        <f aca="false">IF(OR(F53="",G53=""),"",EDATE(F53,G53))</f>
        <v/>
      </c>
      <c r="I53" s="20" t="str">
        <f aca="false">IF(A53="","",IF(D53="No","Not required",IF(H53="","Not trained",IF(H53&lt;Dashboard!$C$5,"Expired",IF(H53-Dashboard!$C$5&lt;=Lists!$Q$3,"Expiring","Current")))))</f>
        <v/>
      </c>
      <c r="J53" s="28"/>
      <c r="K53" s="11"/>
    </row>
    <row r="54" customFormat="false" ht="15" hidden="false" customHeight="false" outlineLevel="0" collapsed="false">
      <c r="A54" s="11"/>
      <c r="B54" s="11"/>
      <c r="C54" s="11"/>
      <c r="D54" s="28"/>
      <c r="E54" s="11"/>
      <c r="F54" s="12"/>
      <c r="G54" s="13"/>
      <c r="H54" s="33" t="str">
        <f aca="false">IF(OR(F54="",G54=""),"",EDATE(F54,G54))</f>
        <v/>
      </c>
      <c r="I54" s="20" t="str">
        <f aca="false">IF(A54="","",IF(D54="No","Not required",IF(H54="","Not trained",IF(H54&lt;Dashboard!$C$5,"Expired",IF(H54-Dashboard!$C$5&lt;=Lists!$Q$3,"Expiring","Current")))))</f>
        <v/>
      </c>
      <c r="J54" s="28"/>
      <c r="K54" s="11"/>
    </row>
    <row r="55" customFormat="false" ht="15" hidden="false" customHeight="false" outlineLevel="0" collapsed="false">
      <c r="A55" s="11"/>
      <c r="B55" s="11"/>
      <c r="C55" s="11"/>
      <c r="D55" s="28"/>
      <c r="E55" s="11"/>
      <c r="F55" s="12"/>
      <c r="G55" s="13"/>
      <c r="H55" s="33" t="str">
        <f aca="false">IF(OR(F55="",G55=""),"",EDATE(F55,G55))</f>
        <v/>
      </c>
      <c r="I55" s="20" t="str">
        <f aca="false">IF(A55="","",IF(D55="No","Not required",IF(H55="","Not trained",IF(H55&lt;Dashboard!$C$5,"Expired",IF(H55-Dashboard!$C$5&lt;=Lists!$Q$3,"Expiring","Current")))))</f>
        <v/>
      </c>
      <c r="J55" s="28"/>
      <c r="K55" s="11"/>
    </row>
    <row r="56" customFormat="false" ht="15" hidden="false" customHeight="false" outlineLevel="0" collapsed="false">
      <c r="A56" s="11"/>
      <c r="B56" s="11"/>
      <c r="C56" s="11"/>
      <c r="D56" s="28"/>
      <c r="E56" s="11"/>
      <c r="F56" s="12"/>
      <c r="G56" s="13"/>
      <c r="H56" s="33" t="str">
        <f aca="false">IF(OR(F56="",G56=""),"",EDATE(F56,G56))</f>
        <v/>
      </c>
      <c r="I56" s="20" t="str">
        <f aca="false">IF(A56="","",IF(D56="No","Not required",IF(H56="","Not trained",IF(H56&lt;Dashboard!$C$5,"Expired",IF(H56-Dashboard!$C$5&lt;=Lists!$Q$3,"Expiring","Current")))))</f>
        <v/>
      </c>
      <c r="J56" s="28"/>
      <c r="K56" s="11"/>
    </row>
    <row r="57" customFormat="false" ht="15" hidden="false" customHeight="false" outlineLevel="0" collapsed="false">
      <c r="A57" s="11"/>
      <c r="B57" s="11"/>
      <c r="C57" s="11"/>
      <c r="D57" s="28"/>
      <c r="E57" s="11"/>
      <c r="F57" s="12"/>
      <c r="G57" s="13"/>
      <c r="H57" s="33" t="str">
        <f aca="false">IF(OR(F57="",G57=""),"",EDATE(F57,G57))</f>
        <v/>
      </c>
      <c r="I57" s="20" t="str">
        <f aca="false">IF(A57="","",IF(D57="No","Not required",IF(H57="","Not trained",IF(H57&lt;Dashboard!$C$5,"Expired",IF(H57-Dashboard!$C$5&lt;=Lists!$Q$3,"Expiring","Current")))))</f>
        <v/>
      </c>
      <c r="J57" s="28"/>
      <c r="K57" s="11"/>
    </row>
    <row r="58" customFormat="false" ht="15" hidden="false" customHeight="false" outlineLevel="0" collapsed="false">
      <c r="A58" s="11"/>
      <c r="B58" s="11"/>
      <c r="C58" s="11"/>
      <c r="D58" s="28"/>
      <c r="E58" s="11"/>
      <c r="F58" s="12"/>
      <c r="G58" s="13"/>
      <c r="H58" s="33" t="str">
        <f aca="false">IF(OR(F58="",G58=""),"",EDATE(F58,G58))</f>
        <v/>
      </c>
      <c r="I58" s="20" t="str">
        <f aca="false">IF(A58="","",IF(D58="No","Not required",IF(H58="","Not trained",IF(H58&lt;Dashboard!$C$5,"Expired",IF(H58-Dashboard!$C$5&lt;=Lists!$Q$3,"Expiring","Current")))))</f>
        <v/>
      </c>
      <c r="J58" s="28"/>
      <c r="K58" s="11"/>
    </row>
    <row r="59" customFormat="false" ht="15" hidden="false" customHeight="false" outlineLevel="0" collapsed="false">
      <c r="A59" s="11"/>
      <c r="B59" s="11"/>
      <c r="C59" s="11"/>
      <c r="D59" s="28"/>
      <c r="E59" s="11"/>
      <c r="F59" s="12"/>
      <c r="G59" s="13"/>
      <c r="H59" s="33" t="str">
        <f aca="false">IF(OR(F59="",G59=""),"",EDATE(F59,G59))</f>
        <v/>
      </c>
      <c r="I59" s="20" t="str">
        <f aca="false">IF(A59="","",IF(D59="No","Not required",IF(H59="","Not trained",IF(H59&lt;Dashboard!$C$5,"Expired",IF(H59-Dashboard!$C$5&lt;=Lists!$Q$3,"Expiring","Current")))))</f>
        <v/>
      </c>
      <c r="J59" s="28"/>
      <c r="K59" s="11"/>
    </row>
    <row r="60" customFormat="false" ht="15" hidden="false" customHeight="false" outlineLevel="0" collapsed="false">
      <c r="A60" s="11"/>
      <c r="B60" s="11"/>
      <c r="C60" s="11"/>
      <c r="D60" s="28"/>
      <c r="E60" s="11"/>
      <c r="F60" s="12"/>
      <c r="G60" s="13"/>
      <c r="H60" s="33" t="str">
        <f aca="false">IF(OR(F60="",G60=""),"",EDATE(F60,G60))</f>
        <v/>
      </c>
      <c r="I60" s="20" t="str">
        <f aca="false">IF(A60="","",IF(D60="No","Not required",IF(H60="","Not trained",IF(H60&lt;Dashboard!$C$5,"Expired",IF(H60-Dashboard!$C$5&lt;=Lists!$Q$3,"Expiring","Current")))))</f>
        <v/>
      </c>
      <c r="J60" s="28"/>
      <c r="K60" s="11"/>
    </row>
    <row r="61" customFormat="false" ht="15" hidden="false" customHeight="false" outlineLevel="0" collapsed="false">
      <c r="A61" s="11"/>
      <c r="B61" s="11"/>
      <c r="C61" s="11"/>
      <c r="D61" s="28"/>
      <c r="E61" s="11"/>
      <c r="F61" s="12"/>
      <c r="G61" s="13"/>
      <c r="H61" s="33" t="str">
        <f aca="false">IF(OR(F61="",G61=""),"",EDATE(F61,G61))</f>
        <v/>
      </c>
      <c r="I61" s="20" t="str">
        <f aca="false">IF(A61="","",IF(D61="No","Not required",IF(H61="","Not trained",IF(H61&lt;Dashboard!$C$5,"Expired",IF(H61-Dashboard!$C$5&lt;=Lists!$Q$3,"Expiring","Current")))))</f>
        <v/>
      </c>
      <c r="J61" s="28"/>
      <c r="K61" s="11"/>
    </row>
    <row r="62" customFormat="false" ht="15" hidden="false" customHeight="false" outlineLevel="0" collapsed="false">
      <c r="A62" s="11"/>
      <c r="B62" s="11"/>
      <c r="C62" s="11"/>
      <c r="D62" s="28"/>
      <c r="E62" s="11"/>
      <c r="F62" s="12"/>
      <c r="G62" s="13"/>
      <c r="H62" s="33" t="str">
        <f aca="false">IF(OR(F62="",G62=""),"",EDATE(F62,G62))</f>
        <v/>
      </c>
      <c r="I62" s="20" t="str">
        <f aca="false">IF(A62="","",IF(D62="No","Not required",IF(H62="","Not trained",IF(H62&lt;Dashboard!$C$5,"Expired",IF(H62-Dashboard!$C$5&lt;=Lists!$Q$3,"Expiring","Current")))))</f>
        <v/>
      </c>
      <c r="J62" s="28"/>
      <c r="K62" s="11"/>
    </row>
    <row r="63" customFormat="false" ht="15" hidden="false" customHeight="false" outlineLevel="0" collapsed="false">
      <c r="A63" s="11"/>
      <c r="B63" s="11"/>
      <c r="C63" s="11"/>
      <c r="D63" s="28"/>
      <c r="E63" s="11"/>
      <c r="F63" s="12"/>
      <c r="G63" s="13"/>
      <c r="H63" s="33" t="str">
        <f aca="false">IF(OR(F63="",G63=""),"",EDATE(F63,G63))</f>
        <v/>
      </c>
      <c r="I63" s="20" t="str">
        <f aca="false">IF(A63="","",IF(D63="No","Not required",IF(H63="","Not trained",IF(H63&lt;Dashboard!$C$5,"Expired",IF(H63-Dashboard!$C$5&lt;=Lists!$Q$3,"Expiring","Current")))))</f>
        <v/>
      </c>
      <c r="J63" s="28"/>
      <c r="K63" s="11"/>
    </row>
    <row r="64" customFormat="false" ht="15" hidden="false" customHeight="false" outlineLevel="0" collapsed="false">
      <c r="A64" s="11"/>
      <c r="B64" s="11"/>
      <c r="C64" s="11"/>
      <c r="D64" s="28"/>
      <c r="E64" s="11"/>
      <c r="F64" s="12"/>
      <c r="G64" s="13"/>
      <c r="H64" s="33" t="str">
        <f aca="false">IF(OR(F64="",G64=""),"",EDATE(F64,G64))</f>
        <v/>
      </c>
      <c r="I64" s="20" t="str">
        <f aca="false">IF(A64="","",IF(D64="No","Not required",IF(H64="","Not trained",IF(H64&lt;Dashboard!$C$5,"Expired",IF(H64-Dashboard!$C$5&lt;=Lists!$Q$3,"Expiring","Current")))))</f>
        <v/>
      </c>
      <c r="J64" s="28"/>
      <c r="K64" s="11"/>
    </row>
    <row r="65" customFormat="false" ht="15" hidden="false" customHeight="false" outlineLevel="0" collapsed="false">
      <c r="A65" s="11"/>
      <c r="B65" s="11"/>
      <c r="C65" s="11"/>
      <c r="D65" s="28"/>
      <c r="E65" s="11"/>
      <c r="F65" s="12"/>
      <c r="G65" s="13"/>
      <c r="H65" s="33" t="str">
        <f aca="false">IF(OR(F65="",G65=""),"",EDATE(F65,G65))</f>
        <v/>
      </c>
      <c r="I65" s="20" t="str">
        <f aca="false">IF(A65="","",IF(D65="No","Not required",IF(H65="","Not trained",IF(H65&lt;Dashboard!$C$5,"Expired",IF(H65-Dashboard!$C$5&lt;=Lists!$Q$3,"Expiring","Current")))))</f>
        <v/>
      </c>
      <c r="J65" s="28"/>
      <c r="K65" s="11"/>
    </row>
    <row r="66" customFormat="false" ht="15" hidden="false" customHeight="false" outlineLevel="0" collapsed="false">
      <c r="A66" s="11"/>
      <c r="B66" s="11"/>
      <c r="C66" s="11"/>
      <c r="D66" s="28"/>
      <c r="E66" s="11"/>
      <c r="F66" s="12"/>
      <c r="G66" s="13"/>
      <c r="H66" s="33" t="str">
        <f aca="false">IF(OR(F66="",G66=""),"",EDATE(F66,G66))</f>
        <v/>
      </c>
      <c r="I66" s="20" t="str">
        <f aca="false">IF(A66="","",IF(D66="No","Not required",IF(H66="","Not trained",IF(H66&lt;Dashboard!$C$5,"Expired",IF(H66-Dashboard!$C$5&lt;=Lists!$Q$3,"Expiring","Current")))))</f>
        <v/>
      </c>
      <c r="J66" s="28"/>
      <c r="K66" s="11"/>
    </row>
    <row r="67" customFormat="false" ht="15" hidden="false" customHeight="false" outlineLevel="0" collapsed="false">
      <c r="A67" s="11"/>
      <c r="B67" s="11"/>
      <c r="C67" s="11"/>
      <c r="D67" s="28"/>
      <c r="E67" s="11"/>
      <c r="F67" s="12"/>
      <c r="G67" s="13"/>
      <c r="H67" s="33" t="str">
        <f aca="false">IF(OR(F67="",G67=""),"",EDATE(F67,G67))</f>
        <v/>
      </c>
      <c r="I67" s="20" t="str">
        <f aca="false">IF(A67="","",IF(D67="No","Not required",IF(H67="","Not trained",IF(H67&lt;Dashboard!$C$5,"Expired",IF(H67-Dashboard!$C$5&lt;=Lists!$Q$3,"Expiring","Current")))))</f>
        <v/>
      </c>
      <c r="J67" s="28"/>
      <c r="K67" s="11"/>
    </row>
    <row r="68" customFormat="false" ht="15" hidden="false" customHeight="false" outlineLevel="0" collapsed="false">
      <c r="A68" s="11"/>
      <c r="B68" s="11"/>
      <c r="C68" s="11"/>
      <c r="D68" s="28"/>
      <c r="E68" s="11"/>
      <c r="F68" s="12"/>
      <c r="G68" s="13"/>
      <c r="H68" s="33" t="str">
        <f aca="false">IF(OR(F68="",G68=""),"",EDATE(F68,G68))</f>
        <v/>
      </c>
      <c r="I68" s="20" t="str">
        <f aca="false">IF(A68="","",IF(D68="No","Not required",IF(H68="","Not trained",IF(H68&lt;Dashboard!$C$5,"Expired",IF(H68-Dashboard!$C$5&lt;=Lists!$Q$3,"Expiring","Current")))))</f>
        <v/>
      </c>
      <c r="J68" s="28"/>
      <c r="K68" s="11"/>
    </row>
    <row r="69" customFormat="false" ht="15" hidden="false" customHeight="false" outlineLevel="0" collapsed="false">
      <c r="A69" s="11"/>
      <c r="B69" s="11"/>
      <c r="C69" s="11"/>
      <c r="D69" s="28"/>
      <c r="E69" s="11"/>
      <c r="F69" s="12"/>
      <c r="G69" s="13"/>
      <c r="H69" s="33" t="str">
        <f aca="false">IF(OR(F69="",G69=""),"",EDATE(F69,G69))</f>
        <v/>
      </c>
      <c r="I69" s="20" t="str">
        <f aca="false">IF(A69="","",IF(D69="No","Not required",IF(H69="","Not trained",IF(H69&lt;Dashboard!$C$5,"Expired",IF(H69-Dashboard!$C$5&lt;=Lists!$Q$3,"Expiring","Current")))))</f>
        <v/>
      </c>
      <c r="J69" s="28"/>
      <c r="K69" s="11"/>
    </row>
    <row r="70" customFormat="false" ht="15" hidden="false" customHeight="false" outlineLevel="0" collapsed="false">
      <c r="A70" s="11"/>
      <c r="B70" s="11"/>
      <c r="C70" s="11"/>
      <c r="D70" s="28"/>
      <c r="E70" s="11"/>
      <c r="F70" s="12"/>
      <c r="G70" s="13"/>
      <c r="H70" s="33" t="str">
        <f aca="false">IF(OR(F70="",G70=""),"",EDATE(F70,G70))</f>
        <v/>
      </c>
      <c r="I70" s="20" t="str">
        <f aca="false">IF(A70="","",IF(D70="No","Not required",IF(H70="","Not trained",IF(H70&lt;Dashboard!$C$5,"Expired",IF(H70-Dashboard!$C$5&lt;=Lists!$Q$3,"Expiring","Current")))))</f>
        <v/>
      </c>
      <c r="J70" s="28"/>
      <c r="K70" s="11"/>
    </row>
    <row r="71" customFormat="false" ht="15" hidden="false" customHeight="false" outlineLevel="0" collapsed="false">
      <c r="A71" s="11"/>
      <c r="B71" s="11"/>
      <c r="C71" s="11"/>
      <c r="D71" s="28"/>
      <c r="E71" s="11"/>
      <c r="F71" s="12"/>
      <c r="G71" s="13"/>
      <c r="H71" s="33" t="str">
        <f aca="false">IF(OR(F71="",G71=""),"",EDATE(F71,G71))</f>
        <v/>
      </c>
      <c r="I71" s="20" t="str">
        <f aca="false">IF(A71="","",IF(D71="No","Not required",IF(H71="","Not trained",IF(H71&lt;Dashboard!$C$5,"Expired",IF(H71-Dashboard!$C$5&lt;=Lists!$Q$3,"Expiring","Current")))))</f>
        <v/>
      </c>
      <c r="J71" s="28"/>
      <c r="K71" s="11"/>
    </row>
    <row r="72" customFormat="false" ht="15" hidden="false" customHeight="false" outlineLevel="0" collapsed="false">
      <c r="A72" s="11"/>
      <c r="B72" s="11"/>
      <c r="C72" s="11"/>
      <c r="D72" s="28"/>
      <c r="E72" s="11"/>
      <c r="F72" s="12"/>
      <c r="G72" s="13"/>
      <c r="H72" s="33" t="str">
        <f aca="false">IF(OR(F72="",G72=""),"",EDATE(F72,G72))</f>
        <v/>
      </c>
      <c r="I72" s="20" t="str">
        <f aca="false">IF(A72="","",IF(D72="No","Not required",IF(H72="","Not trained",IF(H72&lt;Dashboard!$C$5,"Expired",IF(H72-Dashboard!$C$5&lt;=Lists!$Q$3,"Expiring","Current")))))</f>
        <v/>
      </c>
      <c r="J72" s="28"/>
      <c r="K72" s="11"/>
    </row>
    <row r="73" customFormat="false" ht="15" hidden="false" customHeight="false" outlineLevel="0" collapsed="false">
      <c r="A73" s="11"/>
      <c r="B73" s="11"/>
      <c r="C73" s="11"/>
      <c r="D73" s="28"/>
      <c r="E73" s="11"/>
      <c r="F73" s="12"/>
      <c r="G73" s="13"/>
      <c r="H73" s="33" t="str">
        <f aca="false">IF(OR(F73="",G73=""),"",EDATE(F73,G73))</f>
        <v/>
      </c>
      <c r="I73" s="20" t="str">
        <f aca="false">IF(A73="","",IF(D73="No","Not required",IF(H73="","Not trained",IF(H73&lt;Dashboard!$C$5,"Expired",IF(H73-Dashboard!$C$5&lt;=Lists!$Q$3,"Expiring","Current")))))</f>
        <v/>
      </c>
      <c r="J73" s="28"/>
      <c r="K73" s="11"/>
    </row>
    <row r="74" customFormat="false" ht="15" hidden="false" customHeight="false" outlineLevel="0" collapsed="false">
      <c r="A74" s="11"/>
      <c r="B74" s="11"/>
      <c r="C74" s="11"/>
      <c r="D74" s="28"/>
      <c r="E74" s="11"/>
      <c r="F74" s="12"/>
      <c r="G74" s="13"/>
      <c r="H74" s="33" t="str">
        <f aca="false">IF(OR(F74="",G74=""),"",EDATE(F74,G74))</f>
        <v/>
      </c>
      <c r="I74" s="20" t="str">
        <f aca="false">IF(A74="","",IF(D74="No","Not required",IF(H74="","Not trained",IF(H74&lt;Dashboard!$C$5,"Expired",IF(H74-Dashboard!$C$5&lt;=Lists!$Q$3,"Expiring","Current")))))</f>
        <v/>
      </c>
      <c r="J74" s="28"/>
      <c r="K74" s="11"/>
    </row>
    <row r="75" customFormat="false" ht="15" hidden="false" customHeight="false" outlineLevel="0" collapsed="false">
      <c r="A75" s="11"/>
      <c r="B75" s="11"/>
      <c r="C75" s="11"/>
      <c r="D75" s="28"/>
      <c r="E75" s="11"/>
      <c r="F75" s="12"/>
      <c r="G75" s="13"/>
      <c r="H75" s="33" t="str">
        <f aca="false">IF(OR(F75="",G75=""),"",EDATE(F75,G75))</f>
        <v/>
      </c>
      <c r="I75" s="20" t="str">
        <f aca="false">IF(A75="","",IF(D75="No","Not required",IF(H75="","Not trained",IF(H75&lt;Dashboard!$C$5,"Expired",IF(H75-Dashboard!$C$5&lt;=Lists!$Q$3,"Expiring","Current")))))</f>
        <v/>
      </c>
      <c r="J75" s="28"/>
      <c r="K75" s="11"/>
    </row>
    <row r="76" customFormat="false" ht="15" hidden="false" customHeight="false" outlineLevel="0" collapsed="false">
      <c r="A76" s="11"/>
      <c r="B76" s="11"/>
      <c r="C76" s="11"/>
      <c r="D76" s="28"/>
      <c r="E76" s="11"/>
      <c r="F76" s="12"/>
      <c r="G76" s="13"/>
      <c r="H76" s="33" t="str">
        <f aca="false">IF(OR(F76="",G76=""),"",EDATE(F76,G76))</f>
        <v/>
      </c>
      <c r="I76" s="20" t="str">
        <f aca="false">IF(A76="","",IF(D76="No","Not required",IF(H76="","Not trained",IF(H76&lt;Dashboard!$C$5,"Expired",IF(H76-Dashboard!$C$5&lt;=Lists!$Q$3,"Expiring","Current")))))</f>
        <v/>
      </c>
      <c r="J76" s="28"/>
      <c r="K76" s="11"/>
    </row>
    <row r="77" customFormat="false" ht="15" hidden="false" customHeight="false" outlineLevel="0" collapsed="false">
      <c r="A77" s="11"/>
      <c r="B77" s="11"/>
      <c r="C77" s="11"/>
      <c r="D77" s="28"/>
      <c r="E77" s="11"/>
      <c r="F77" s="12"/>
      <c r="G77" s="13"/>
      <c r="H77" s="33" t="str">
        <f aca="false">IF(OR(F77="",G77=""),"",EDATE(F77,G77))</f>
        <v/>
      </c>
      <c r="I77" s="20" t="str">
        <f aca="false">IF(A77="","",IF(D77="No","Not required",IF(H77="","Not trained",IF(H77&lt;Dashboard!$C$5,"Expired",IF(H77-Dashboard!$C$5&lt;=Lists!$Q$3,"Expiring","Current")))))</f>
        <v/>
      </c>
      <c r="J77" s="28"/>
      <c r="K77" s="11"/>
    </row>
    <row r="78" customFormat="false" ht="15" hidden="false" customHeight="false" outlineLevel="0" collapsed="false">
      <c r="A78" s="11"/>
      <c r="B78" s="11"/>
      <c r="C78" s="11"/>
      <c r="D78" s="28"/>
      <c r="E78" s="11"/>
      <c r="F78" s="12"/>
      <c r="G78" s="13"/>
      <c r="H78" s="33" t="str">
        <f aca="false">IF(OR(F78="",G78=""),"",EDATE(F78,G78))</f>
        <v/>
      </c>
      <c r="I78" s="20" t="str">
        <f aca="false">IF(A78="","",IF(D78="No","Not required",IF(H78="","Not trained",IF(H78&lt;Dashboard!$C$5,"Expired",IF(H78-Dashboard!$C$5&lt;=Lists!$Q$3,"Expiring","Current")))))</f>
        <v/>
      </c>
      <c r="J78" s="28"/>
      <c r="K78" s="11"/>
    </row>
    <row r="79" customFormat="false" ht="15" hidden="false" customHeight="false" outlineLevel="0" collapsed="false">
      <c r="A79" s="11"/>
      <c r="B79" s="11"/>
      <c r="C79" s="11"/>
      <c r="D79" s="28"/>
      <c r="E79" s="11"/>
      <c r="F79" s="12"/>
      <c r="G79" s="13"/>
      <c r="H79" s="33" t="str">
        <f aca="false">IF(OR(F79="",G79=""),"",EDATE(F79,G79))</f>
        <v/>
      </c>
      <c r="I79" s="20" t="str">
        <f aca="false">IF(A79="","",IF(D79="No","Not required",IF(H79="","Not trained",IF(H79&lt;Dashboard!$C$5,"Expired",IF(H79-Dashboard!$C$5&lt;=Lists!$Q$3,"Expiring","Current")))))</f>
        <v/>
      </c>
      <c r="J79" s="28"/>
      <c r="K79" s="11"/>
    </row>
    <row r="80" customFormat="false" ht="15" hidden="false" customHeight="false" outlineLevel="0" collapsed="false">
      <c r="A80" s="11"/>
      <c r="B80" s="11"/>
      <c r="C80" s="11"/>
      <c r="D80" s="28"/>
      <c r="E80" s="11"/>
      <c r="F80" s="12"/>
      <c r="G80" s="13"/>
      <c r="H80" s="33" t="str">
        <f aca="false">IF(OR(F80="",G80=""),"",EDATE(F80,G80))</f>
        <v/>
      </c>
      <c r="I80" s="20" t="str">
        <f aca="false">IF(A80="","",IF(D80="No","Not required",IF(H80="","Not trained",IF(H80&lt;Dashboard!$C$5,"Expired",IF(H80-Dashboard!$C$5&lt;=Lists!$Q$3,"Expiring","Current")))))</f>
        <v/>
      </c>
      <c r="J80" s="28"/>
      <c r="K80" s="11"/>
    </row>
    <row r="81" customFormat="false" ht="15" hidden="false" customHeight="false" outlineLevel="0" collapsed="false">
      <c r="A81" s="11"/>
      <c r="B81" s="11"/>
      <c r="C81" s="11"/>
      <c r="D81" s="28"/>
      <c r="E81" s="11"/>
      <c r="F81" s="12"/>
      <c r="G81" s="13"/>
      <c r="H81" s="33" t="str">
        <f aca="false">IF(OR(F81="",G81=""),"",EDATE(F81,G81))</f>
        <v/>
      </c>
      <c r="I81" s="20" t="str">
        <f aca="false">IF(A81="","",IF(D81="No","Not required",IF(H81="","Not trained",IF(H81&lt;Dashboard!$C$5,"Expired",IF(H81-Dashboard!$C$5&lt;=Lists!$Q$3,"Expiring","Current")))))</f>
        <v/>
      </c>
      <c r="J81" s="28"/>
      <c r="K81" s="11"/>
    </row>
    <row r="82" customFormat="false" ht="15" hidden="false" customHeight="false" outlineLevel="0" collapsed="false">
      <c r="A82" s="11"/>
      <c r="B82" s="11"/>
      <c r="C82" s="11"/>
      <c r="D82" s="28"/>
      <c r="E82" s="11"/>
      <c r="F82" s="12"/>
      <c r="G82" s="13"/>
      <c r="H82" s="33" t="str">
        <f aca="false">IF(OR(F82="",G82=""),"",EDATE(F82,G82))</f>
        <v/>
      </c>
      <c r="I82" s="20" t="str">
        <f aca="false">IF(A82="","",IF(D82="No","Not required",IF(H82="","Not trained",IF(H82&lt;Dashboard!$C$5,"Expired",IF(H82-Dashboard!$C$5&lt;=Lists!$Q$3,"Expiring","Current")))))</f>
        <v/>
      </c>
      <c r="J82" s="28"/>
      <c r="K82" s="11"/>
    </row>
    <row r="83" customFormat="false" ht="15" hidden="false" customHeight="false" outlineLevel="0" collapsed="false">
      <c r="A83" s="11"/>
      <c r="B83" s="11"/>
      <c r="C83" s="11"/>
      <c r="D83" s="28"/>
      <c r="E83" s="11"/>
      <c r="F83" s="12"/>
      <c r="G83" s="13"/>
      <c r="H83" s="33" t="str">
        <f aca="false">IF(OR(F83="",G83=""),"",EDATE(F83,G83))</f>
        <v/>
      </c>
      <c r="I83" s="20" t="str">
        <f aca="false">IF(A83="","",IF(D83="No","Not required",IF(H83="","Not trained",IF(H83&lt;Dashboard!$C$5,"Expired",IF(H83-Dashboard!$C$5&lt;=Lists!$Q$3,"Expiring","Current")))))</f>
        <v/>
      </c>
      <c r="J83" s="28"/>
      <c r="K83" s="11"/>
    </row>
    <row r="84" customFormat="false" ht="15" hidden="false" customHeight="false" outlineLevel="0" collapsed="false">
      <c r="A84" s="11"/>
      <c r="B84" s="11"/>
      <c r="C84" s="11"/>
      <c r="D84" s="28"/>
      <c r="E84" s="11"/>
      <c r="F84" s="12"/>
      <c r="G84" s="13"/>
      <c r="H84" s="33" t="str">
        <f aca="false">IF(OR(F84="",G84=""),"",EDATE(F84,G84))</f>
        <v/>
      </c>
      <c r="I84" s="20" t="str">
        <f aca="false">IF(A84="","",IF(D84="No","Not required",IF(H84="","Not trained",IF(H84&lt;Dashboard!$C$5,"Expired",IF(H84-Dashboard!$C$5&lt;=Lists!$Q$3,"Expiring","Current")))))</f>
        <v/>
      </c>
      <c r="J84" s="28"/>
      <c r="K84" s="11"/>
    </row>
    <row r="85" customFormat="false" ht="15" hidden="false" customHeight="false" outlineLevel="0" collapsed="false">
      <c r="A85" s="11"/>
      <c r="B85" s="11"/>
      <c r="C85" s="11"/>
      <c r="D85" s="28"/>
      <c r="E85" s="11"/>
      <c r="F85" s="12"/>
      <c r="G85" s="13"/>
      <c r="H85" s="33" t="str">
        <f aca="false">IF(OR(F85="",G85=""),"",EDATE(F85,G85))</f>
        <v/>
      </c>
      <c r="I85" s="20" t="str">
        <f aca="false">IF(A85="","",IF(D85="No","Not required",IF(H85="","Not trained",IF(H85&lt;Dashboard!$C$5,"Expired",IF(H85-Dashboard!$C$5&lt;=Lists!$Q$3,"Expiring","Current")))))</f>
        <v/>
      </c>
      <c r="J85" s="28"/>
      <c r="K85" s="11"/>
    </row>
    <row r="86" customFormat="false" ht="15" hidden="false" customHeight="false" outlineLevel="0" collapsed="false">
      <c r="A86" s="11"/>
      <c r="B86" s="11"/>
      <c r="C86" s="11"/>
      <c r="D86" s="28"/>
      <c r="E86" s="11"/>
      <c r="F86" s="12"/>
      <c r="G86" s="13"/>
      <c r="H86" s="33" t="str">
        <f aca="false">IF(OR(F86="",G86=""),"",EDATE(F86,G86))</f>
        <v/>
      </c>
      <c r="I86" s="20" t="str">
        <f aca="false">IF(A86="","",IF(D86="No","Not required",IF(H86="","Not trained",IF(H86&lt;Dashboard!$C$5,"Expired",IF(H86-Dashboard!$C$5&lt;=Lists!$Q$3,"Expiring","Current")))))</f>
        <v/>
      </c>
      <c r="J86" s="28"/>
      <c r="K86" s="11"/>
    </row>
    <row r="87" customFormat="false" ht="15" hidden="false" customHeight="false" outlineLevel="0" collapsed="false">
      <c r="A87" s="11"/>
      <c r="B87" s="11"/>
      <c r="C87" s="11"/>
      <c r="D87" s="28"/>
      <c r="E87" s="11"/>
      <c r="F87" s="12"/>
      <c r="G87" s="13"/>
      <c r="H87" s="33" t="str">
        <f aca="false">IF(OR(F87="",G87=""),"",EDATE(F87,G87))</f>
        <v/>
      </c>
      <c r="I87" s="20" t="str">
        <f aca="false">IF(A87="","",IF(D87="No","Not required",IF(H87="","Not trained",IF(H87&lt;Dashboard!$C$5,"Expired",IF(H87-Dashboard!$C$5&lt;=Lists!$Q$3,"Expiring","Current")))))</f>
        <v/>
      </c>
      <c r="J87" s="28"/>
      <c r="K87" s="11"/>
    </row>
    <row r="88" customFormat="false" ht="15" hidden="false" customHeight="false" outlineLevel="0" collapsed="false">
      <c r="A88" s="11"/>
      <c r="B88" s="11"/>
      <c r="C88" s="11"/>
      <c r="D88" s="28"/>
      <c r="E88" s="11"/>
      <c r="F88" s="12"/>
      <c r="G88" s="13"/>
      <c r="H88" s="33" t="str">
        <f aca="false">IF(OR(F88="",G88=""),"",EDATE(F88,G88))</f>
        <v/>
      </c>
      <c r="I88" s="20" t="str">
        <f aca="false">IF(A88="","",IF(D88="No","Not required",IF(H88="","Not trained",IF(H88&lt;Dashboard!$C$5,"Expired",IF(H88-Dashboard!$C$5&lt;=Lists!$Q$3,"Expiring","Current")))))</f>
        <v/>
      </c>
      <c r="J88" s="28"/>
      <c r="K88" s="11"/>
    </row>
    <row r="89" customFormat="false" ht="15" hidden="false" customHeight="false" outlineLevel="0" collapsed="false">
      <c r="A89" s="11"/>
      <c r="B89" s="11"/>
      <c r="C89" s="11"/>
      <c r="D89" s="28"/>
      <c r="E89" s="11"/>
      <c r="F89" s="12"/>
      <c r="G89" s="13"/>
      <c r="H89" s="33" t="str">
        <f aca="false">IF(OR(F89="",G89=""),"",EDATE(F89,G89))</f>
        <v/>
      </c>
      <c r="I89" s="20" t="str">
        <f aca="false">IF(A89="","",IF(D89="No","Not required",IF(H89="","Not trained",IF(H89&lt;Dashboard!$C$5,"Expired",IF(H89-Dashboard!$C$5&lt;=Lists!$Q$3,"Expiring","Current")))))</f>
        <v/>
      </c>
      <c r="J89" s="28"/>
      <c r="K89" s="11"/>
    </row>
    <row r="90" customFormat="false" ht="15" hidden="false" customHeight="false" outlineLevel="0" collapsed="false">
      <c r="A90" s="11"/>
      <c r="B90" s="11"/>
      <c r="C90" s="11"/>
      <c r="D90" s="28"/>
      <c r="E90" s="11"/>
      <c r="F90" s="12"/>
      <c r="G90" s="13"/>
      <c r="H90" s="33" t="str">
        <f aca="false">IF(OR(F90="",G90=""),"",EDATE(F90,G90))</f>
        <v/>
      </c>
      <c r="I90" s="20" t="str">
        <f aca="false">IF(A90="","",IF(D90="No","Not required",IF(H90="","Not trained",IF(H90&lt;Dashboard!$C$5,"Expired",IF(H90-Dashboard!$C$5&lt;=Lists!$Q$3,"Expiring","Current")))))</f>
        <v/>
      </c>
      <c r="J90" s="28"/>
      <c r="K90" s="11"/>
    </row>
    <row r="91" customFormat="false" ht="15" hidden="false" customHeight="false" outlineLevel="0" collapsed="false">
      <c r="A91" s="11"/>
      <c r="B91" s="11"/>
      <c r="C91" s="11"/>
      <c r="D91" s="28"/>
      <c r="E91" s="11"/>
      <c r="F91" s="12"/>
      <c r="G91" s="13"/>
      <c r="H91" s="33" t="str">
        <f aca="false">IF(OR(F91="",G91=""),"",EDATE(F91,G91))</f>
        <v/>
      </c>
      <c r="I91" s="20" t="str">
        <f aca="false">IF(A91="","",IF(D91="No","Not required",IF(H91="","Not trained",IF(H91&lt;Dashboard!$C$5,"Expired",IF(H91-Dashboard!$C$5&lt;=Lists!$Q$3,"Expiring","Current")))))</f>
        <v/>
      </c>
      <c r="J91" s="28"/>
      <c r="K91" s="11"/>
    </row>
    <row r="92" customFormat="false" ht="15" hidden="false" customHeight="false" outlineLevel="0" collapsed="false">
      <c r="A92" s="11"/>
      <c r="B92" s="11"/>
      <c r="C92" s="11"/>
      <c r="D92" s="28"/>
      <c r="E92" s="11"/>
      <c r="F92" s="12"/>
      <c r="G92" s="13"/>
      <c r="H92" s="33" t="str">
        <f aca="false">IF(OR(F92="",G92=""),"",EDATE(F92,G92))</f>
        <v/>
      </c>
      <c r="I92" s="20" t="str">
        <f aca="false">IF(A92="","",IF(D92="No","Not required",IF(H92="","Not trained",IF(H92&lt;Dashboard!$C$5,"Expired",IF(H92-Dashboard!$C$5&lt;=Lists!$Q$3,"Expiring","Current")))))</f>
        <v/>
      </c>
      <c r="J92" s="28"/>
      <c r="K92" s="11"/>
    </row>
    <row r="93" customFormat="false" ht="15" hidden="false" customHeight="false" outlineLevel="0" collapsed="false">
      <c r="A93" s="11"/>
      <c r="B93" s="11"/>
      <c r="C93" s="11"/>
      <c r="D93" s="28"/>
      <c r="E93" s="11"/>
      <c r="F93" s="12"/>
      <c r="G93" s="13"/>
      <c r="H93" s="33" t="str">
        <f aca="false">IF(OR(F93="",G93=""),"",EDATE(F93,G93))</f>
        <v/>
      </c>
      <c r="I93" s="20" t="str">
        <f aca="false">IF(A93="","",IF(D93="No","Not required",IF(H93="","Not trained",IF(H93&lt;Dashboard!$C$5,"Expired",IF(H93-Dashboard!$C$5&lt;=Lists!$Q$3,"Expiring","Current")))))</f>
        <v/>
      </c>
      <c r="J93" s="28"/>
      <c r="K93" s="11"/>
    </row>
    <row r="94" customFormat="false" ht="15" hidden="false" customHeight="false" outlineLevel="0" collapsed="false">
      <c r="A94" s="11"/>
      <c r="B94" s="11"/>
      <c r="C94" s="11"/>
      <c r="D94" s="28"/>
      <c r="E94" s="11"/>
      <c r="F94" s="12"/>
      <c r="G94" s="13"/>
      <c r="H94" s="33" t="str">
        <f aca="false">IF(OR(F94="",G94=""),"",EDATE(F94,G94))</f>
        <v/>
      </c>
      <c r="I94" s="20" t="str">
        <f aca="false">IF(A94="","",IF(D94="No","Not required",IF(H94="","Not trained",IF(H94&lt;Dashboard!$C$5,"Expired",IF(H94-Dashboard!$C$5&lt;=Lists!$Q$3,"Expiring","Current")))))</f>
        <v/>
      </c>
      <c r="J94" s="28"/>
      <c r="K94" s="11"/>
    </row>
    <row r="95" customFormat="false" ht="15" hidden="false" customHeight="false" outlineLevel="0" collapsed="false">
      <c r="A95" s="11"/>
      <c r="B95" s="11"/>
      <c r="C95" s="11"/>
      <c r="D95" s="28"/>
      <c r="E95" s="11"/>
      <c r="F95" s="12"/>
      <c r="G95" s="13"/>
      <c r="H95" s="33" t="str">
        <f aca="false">IF(OR(F95="",G95=""),"",EDATE(F95,G95))</f>
        <v/>
      </c>
      <c r="I95" s="20" t="str">
        <f aca="false">IF(A95="","",IF(D95="No","Not required",IF(H95="","Not trained",IF(H95&lt;Dashboard!$C$5,"Expired",IF(H95-Dashboard!$C$5&lt;=Lists!$Q$3,"Expiring","Current")))))</f>
        <v/>
      </c>
      <c r="J95" s="28"/>
      <c r="K95" s="11"/>
    </row>
    <row r="96" customFormat="false" ht="15" hidden="false" customHeight="false" outlineLevel="0" collapsed="false">
      <c r="A96" s="11"/>
      <c r="B96" s="11"/>
      <c r="C96" s="11"/>
      <c r="D96" s="28"/>
      <c r="E96" s="11"/>
      <c r="F96" s="12"/>
      <c r="G96" s="13"/>
      <c r="H96" s="33" t="str">
        <f aca="false">IF(OR(F96="",G96=""),"",EDATE(F96,G96))</f>
        <v/>
      </c>
      <c r="I96" s="20" t="str">
        <f aca="false">IF(A96="","",IF(D96="No","Not required",IF(H96="","Not trained",IF(H96&lt;Dashboard!$C$5,"Expired",IF(H96-Dashboard!$C$5&lt;=Lists!$Q$3,"Expiring","Current")))))</f>
        <v/>
      </c>
      <c r="J96" s="28"/>
      <c r="K96" s="11"/>
    </row>
    <row r="97" customFormat="false" ht="15" hidden="false" customHeight="false" outlineLevel="0" collapsed="false">
      <c r="A97" s="11"/>
      <c r="B97" s="11"/>
      <c r="C97" s="11"/>
      <c r="D97" s="28"/>
      <c r="E97" s="11"/>
      <c r="F97" s="12"/>
      <c r="G97" s="13"/>
      <c r="H97" s="33" t="str">
        <f aca="false">IF(OR(F97="",G97=""),"",EDATE(F97,G97))</f>
        <v/>
      </c>
      <c r="I97" s="20" t="str">
        <f aca="false">IF(A97="","",IF(D97="No","Not required",IF(H97="","Not trained",IF(H97&lt;Dashboard!$C$5,"Expired",IF(H97-Dashboard!$C$5&lt;=Lists!$Q$3,"Expiring","Current")))))</f>
        <v/>
      </c>
      <c r="J97" s="28"/>
      <c r="K97" s="11"/>
    </row>
    <row r="98" customFormat="false" ht="15" hidden="false" customHeight="false" outlineLevel="0" collapsed="false">
      <c r="A98" s="11"/>
      <c r="B98" s="11"/>
      <c r="C98" s="11"/>
      <c r="D98" s="28"/>
      <c r="E98" s="11"/>
      <c r="F98" s="12"/>
      <c r="G98" s="13"/>
      <c r="H98" s="33" t="str">
        <f aca="false">IF(OR(F98="",G98=""),"",EDATE(F98,G98))</f>
        <v/>
      </c>
      <c r="I98" s="20" t="str">
        <f aca="false">IF(A98="","",IF(D98="No","Not required",IF(H98="","Not trained",IF(H98&lt;Dashboard!$C$5,"Expired",IF(H98-Dashboard!$C$5&lt;=Lists!$Q$3,"Expiring","Current")))))</f>
        <v/>
      </c>
      <c r="J98" s="28"/>
      <c r="K98" s="11"/>
    </row>
    <row r="99" customFormat="false" ht="15" hidden="false" customHeight="false" outlineLevel="0" collapsed="false">
      <c r="A99" s="11"/>
      <c r="B99" s="11"/>
      <c r="C99" s="11"/>
      <c r="D99" s="28"/>
      <c r="E99" s="11"/>
      <c r="F99" s="12"/>
      <c r="G99" s="13"/>
      <c r="H99" s="33" t="str">
        <f aca="false">IF(OR(F99="",G99=""),"",EDATE(F99,G99))</f>
        <v/>
      </c>
      <c r="I99" s="20" t="str">
        <f aca="false">IF(A99="","",IF(D99="No","Not required",IF(H99="","Not trained",IF(H99&lt;Dashboard!$C$5,"Expired",IF(H99-Dashboard!$C$5&lt;=Lists!$Q$3,"Expiring","Current")))))</f>
        <v/>
      </c>
      <c r="J99" s="28"/>
      <c r="K99" s="11"/>
    </row>
    <row r="100" customFormat="false" ht="15" hidden="false" customHeight="false" outlineLevel="0" collapsed="false">
      <c r="A100" s="11"/>
      <c r="B100" s="11"/>
      <c r="C100" s="11"/>
      <c r="D100" s="28"/>
      <c r="E100" s="11"/>
      <c r="F100" s="12"/>
      <c r="G100" s="13"/>
      <c r="H100" s="33" t="str">
        <f aca="false">IF(OR(F100="",G100=""),"",EDATE(F100,G100))</f>
        <v/>
      </c>
      <c r="I100" s="20" t="str">
        <f aca="false">IF(A100="","",IF(D100="No","Not required",IF(H100="","Not trained",IF(H100&lt;Dashboard!$C$5,"Expired",IF(H100-Dashboard!$C$5&lt;=Lists!$Q$3,"Expiring","Current")))))</f>
        <v/>
      </c>
      <c r="J100" s="28"/>
      <c r="K100" s="11"/>
    </row>
    <row r="101" customFormat="false" ht="15" hidden="false" customHeight="false" outlineLevel="0" collapsed="false">
      <c r="A101" s="11"/>
      <c r="B101" s="11"/>
      <c r="C101" s="11"/>
      <c r="D101" s="28"/>
      <c r="E101" s="11"/>
      <c r="F101" s="12"/>
      <c r="G101" s="13"/>
      <c r="H101" s="33" t="str">
        <f aca="false">IF(OR(F101="",G101=""),"",EDATE(F101,G101))</f>
        <v/>
      </c>
      <c r="I101" s="20" t="str">
        <f aca="false">IF(A101="","",IF(D101="No","Not required",IF(H101="","Not trained",IF(H101&lt;Dashboard!$C$5,"Expired",IF(H101-Dashboard!$C$5&lt;=Lists!$Q$3,"Expiring","Current")))))</f>
        <v/>
      </c>
      <c r="J101" s="28"/>
      <c r="K101" s="11"/>
    </row>
    <row r="102" customFormat="false" ht="15" hidden="false" customHeight="false" outlineLevel="0" collapsed="false">
      <c r="A102" s="11"/>
      <c r="B102" s="11"/>
      <c r="C102" s="11"/>
      <c r="D102" s="28"/>
      <c r="E102" s="11"/>
      <c r="F102" s="12"/>
      <c r="G102" s="13"/>
      <c r="H102" s="33" t="str">
        <f aca="false">IF(OR(F102="",G102=""),"",EDATE(F102,G102))</f>
        <v/>
      </c>
      <c r="I102" s="20" t="str">
        <f aca="false">IF(A102="","",IF(D102="No","Not required",IF(H102="","Not trained",IF(H102&lt;Dashboard!$C$5,"Expired",IF(H102-Dashboard!$C$5&lt;=Lists!$Q$3,"Expiring","Current")))))</f>
        <v/>
      </c>
      <c r="J102" s="28"/>
      <c r="K102" s="11"/>
    </row>
    <row r="103" customFormat="false" ht="15" hidden="false" customHeight="false" outlineLevel="0" collapsed="false">
      <c r="A103" s="11"/>
      <c r="B103" s="11"/>
      <c r="C103" s="11"/>
      <c r="D103" s="28"/>
      <c r="E103" s="11"/>
      <c r="F103" s="12"/>
      <c r="G103" s="13"/>
      <c r="H103" s="33" t="str">
        <f aca="false">IF(OR(F103="",G103=""),"",EDATE(F103,G103))</f>
        <v/>
      </c>
      <c r="I103" s="20" t="str">
        <f aca="false">IF(A103="","",IF(D103="No","Not required",IF(H103="","Not trained",IF(H103&lt;Dashboard!$C$5,"Expired",IF(H103-Dashboard!$C$5&lt;=Lists!$Q$3,"Expiring","Current")))))</f>
        <v/>
      </c>
      <c r="J103" s="28"/>
      <c r="K103" s="11"/>
    </row>
    <row r="104" customFormat="false" ht="15" hidden="false" customHeight="false" outlineLevel="0" collapsed="false">
      <c r="A104" s="11"/>
      <c r="B104" s="11"/>
      <c r="C104" s="11"/>
      <c r="D104" s="28"/>
      <c r="E104" s="11"/>
      <c r="F104" s="12"/>
      <c r="G104" s="13"/>
      <c r="H104" s="33" t="str">
        <f aca="false">IF(OR(F104="",G104=""),"",EDATE(F104,G104))</f>
        <v/>
      </c>
      <c r="I104" s="20" t="str">
        <f aca="false">IF(A104="","",IF(D104="No","Not required",IF(H104="","Not trained",IF(H104&lt;Dashboard!$C$5,"Expired",IF(H104-Dashboard!$C$5&lt;=Lists!$Q$3,"Expiring","Current")))))</f>
        <v/>
      </c>
      <c r="J104" s="28"/>
      <c r="K104" s="11"/>
    </row>
    <row r="105" customFormat="false" ht="15" hidden="false" customHeight="false" outlineLevel="0" collapsed="false">
      <c r="A105" s="11"/>
      <c r="B105" s="11"/>
      <c r="C105" s="11"/>
      <c r="D105" s="28"/>
      <c r="E105" s="11"/>
      <c r="F105" s="12"/>
      <c r="G105" s="13"/>
      <c r="H105" s="33" t="str">
        <f aca="false">IF(OR(F105="",G105=""),"",EDATE(F105,G105))</f>
        <v/>
      </c>
      <c r="I105" s="20" t="str">
        <f aca="false">IF(A105="","",IF(D105="No","Not required",IF(H105="","Not trained",IF(H105&lt;Dashboard!$C$5,"Expired",IF(H105-Dashboard!$C$5&lt;=Lists!$Q$3,"Expiring","Current")))))</f>
        <v/>
      </c>
      <c r="J105" s="28"/>
      <c r="K105" s="11"/>
    </row>
    <row r="106" customFormat="false" ht="15" hidden="false" customHeight="false" outlineLevel="0" collapsed="false">
      <c r="A106" s="11"/>
      <c r="B106" s="11"/>
      <c r="C106" s="11"/>
      <c r="D106" s="28"/>
      <c r="E106" s="11"/>
      <c r="F106" s="12"/>
      <c r="G106" s="13"/>
      <c r="H106" s="33" t="str">
        <f aca="false">IF(OR(F106="",G106=""),"",EDATE(F106,G106))</f>
        <v/>
      </c>
      <c r="I106" s="20" t="str">
        <f aca="false">IF(A106="","",IF(D106="No","Not required",IF(H106="","Not trained",IF(H106&lt;Dashboard!$C$5,"Expired",IF(H106-Dashboard!$C$5&lt;=Lists!$Q$3,"Expiring","Current")))))</f>
        <v/>
      </c>
      <c r="J106" s="28"/>
      <c r="K106" s="11"/>
    </row>
    <row r="107" customFormat="false" ht="15" hidden="false" customHeight="false" outlineLevel="0" collapsed="false">
      <c r="A107" s="11"/>
      <c r="B107" s="11"/>
      <c r="C107" s="11"/>
      <c r="D107" s="28"/>
      <c r="E107" s="11"/>
      <c r="F107" s="12"/>
      <c r="G107" s="13"/>
      <c r="H107" s="33" t="str">
        <f aca="false">IF(OR(F107="",G107=""),"",EDATE(F107,G107))</f>
        <v/>
      </c>
      <c r="I107" s="20" t="str">
        <f aca="false">IF(A107="","",IF(D107="No","Not required",IF(H107="","Not trained",IF(H107&lt;Dashboard!$C$5,"Expired",IF(H107-Dashboard!$C$5&lt;=Lists!$Q$3,"Expiring","Current")))))</f>
        <v/>
      </c>
      <c r="J107" s="28"/>
      <c r="K107" s="11"/>
    </row>
    <row r="108" customFormat="false" ht="15" hidden="false" customHeight="false" outlineLevel="0" collapsed="false">
      <c r="A108" s="11"/>
      <c r="B108" s="11"/>
      <c r="C108" s="11"/>
      <c r="D108" s="28"/>
      <c r="E108" s="11"/>
      <c r="F108" s="12"/>
      <c r="G108" s="13"/>
      <c r="H108" s="33" t="str">
        <f aca="false">IF(OR(F108="",G108=""),"",EDATE(F108,G108))</f>
        <v/>
      </c>
      <c r="I108" s="20" t="str">
        <f aca="false">IF(A108="","",IF(D108="No","Not required",IF(H108="","Not trained",IF(H108&lt;Dashboard!$C$5,"Expired",IF(H108-Dashboard!$C$5&lt;=Lists!$Q$3,"Expiring","Current")))))</f>
        <v/>
      </c>
      <c r="J108" s="28"/>
      <c r="K108" s="11"/>
    </row>
    <row r="109" customFormat="false" ht="15" hidden="false" customHeight="false" outlineLevel="0" collapsed="false">
      <c r="A109" s="11"/>
      <c r="B109" s="11"/>
      <c r="C109" s="11"/>
      <c r="D109" s="28"/>
      <c r="E109" s="11"/>
      <c r="F109" s="12"/>
      <c r="G109" s="13"/>
      <c r="H109" s="33" t="str">
        <f aca="false">IF(OR(F109="",G109=""),"",EDATE(F109,G109))</f>
        <v/>
      </c>
      <c r="I109" s="20" t="str">
        <f aca="false">IF(A109="","",IF(D109="No","Not required",IF(H109="","Not trained",IF(H109&lt;Dashboard!$C$5,"Expired",IF(H109-Dashboard!$C$5&lt;=Lists!$Q$3,"Expiring","Current")))))</f>
        <v/>
      </c>
      <c r="J109" s="28"/>
      <c r="K109" s="11"/>
    </row>
    <row r="110" customFormat="false" ht="15" hidden="false" customHeight="false" outlineLevel="0" collapsed="false">
      <c r="A110" s="11"/>
      <c r="B110" s="11"/>
      <c r="C110" s="11"/>
      <c r="D110" s="28"/>
      <c r="E110" s="11"/>
      <c r="F110" s="12"/>
      <c r="G110" s="13"/>
      <c r="H110" s="33" t="str">
        <f aca="false">IF(OR(F110="",G110=""),"",EDATE(F110,G110))</f>
        <v/>
      </c>
      <c r="I110" s="20" t="str">
        <f aca="false">IF(A110="","",IF(D110="No","Not required",IF(H110="","Not trained",IF(H110&lt;Dashboard!$C$5,"Expired",IF(H110-Dashboard!$C$5&lt;=Lists!$Q$3,"Expiring","Current")))))</f>
        <v/>
      </c>
      <c r="J110" s="28"/>
      <c r="K110" s="11"/>
    </row>
    <row r="111" customFormat="false" ht="15" hidden="false" customHeight="false" outlineLevel="0" collapsed="false">
      <c r="A111" s="11"/>
      <c r="B111" s="11"/>
      <c r="C111" s="11"/>
      <c r="D111" s="28"/>
      <c r="E111" s="11"/>
      <c r="F111" s="12"/>
      <c r="G111" s="13"/>
      <c r="H111" s="33" t="str">
        <f aca="false">IF(OR(F111="",G111=""),"",EDATE(F111,G111))</f>
        <v/>
      </c>
      <c r="I111" s="20" t="str">
        <f aca="false">IF(A111="","",IF(D111="No","Not required",IF(H111="","Not trained",IF(H111&lt;Dashboard!$C$5,"Expired",IF(H111-Dashboard!$C$5&lt;=Lists!$Q$3,"Expiring","Current")))))</f>
        <v/>
      </c>
      <c r="J111" s="28"/>
      <c r="K111" s="11"/>
    </row>
    <row r="112" customFormat="false" ht="15" hidden="false" customHeight="false" outlineLevel="0" collapsed="false">
      <c r="A112" s="11"/>
      <c r="B112" s="11"/>
      <c r="C112" s="11"/>
      <c r="D112" s="28"/>
      <c r="E112" s="11"/>
      <c r="F112" s="12"/>
      <c r="G112" s="13"/>
      <c r="H112" s="33" t="str">
        <f aca="false">IF(OR(F112="",G112=""),"",EDATE(F112,G112))</f>
        <v/>
      </c>
      <c r="I112" s="20" t="str">
        <f aca="false">IF(A112="","",IF(D112="No","Not required",IF(H112="","Not trained",IF(H112&lt;Dashboard!$C$5,"Expired",IF(H112-Dashboard!$C$5&lt;=Lists!$Q$3,"Expiring","Current")))))</f>
        <v/>
      </c>
      <c r="J112" s="28"/>
      <c r="K112" s="11"/>
    </row>
    <row r="113" customFormat="false" ht="15" hidden="false" customHeight="false" outlineLevel="0" collapsed="false">
      <c r="A113" s="11"/>
      <c r="B113" s="11"/>
      <c r="C113" s="11"/>
      <c r="D113" s="28"/>
      <c r="E113" s="11"/>
      <c r="F113" s="12"/>
      <c r="G113" s="13"/>
      <c r="H113" s="33" t="str">
        <f aca="false">IF(OR(F113="",G113=""),"",EDATE(F113,G113))</f>
        <v/>
      </c>
      <c r="I113" s="20" t="str">
        <f aca="false">IF(A113="","",IF(D113="No","Not required",IF(H113="","Not trained",IF(H113&lt;Dashboard!$C$5,"Expired",IF(H113-Dashboard!$C$5&lt;=Lists!$Q$3,"Expiring","Current")))))</f>
        <v/>
      </c>
      <c r="J113" s="28"/>
      <c r="K113" s="11"/>
    </row>
    <row r="114" customFormat="false" ht="15" hidden="false" customHeight="false" outlineLevel="0" collapsed="false">
      <c r="A114" s="11"/>
      <c r="B114" s="11"/>
      <c r="C114" s="11"/>
      <c r="D114" s="28"/>
      <c r="E114" s="11"/>
      <c r="F114" s="12"/>
      <c r="G114" s="13"/>
      <c r="H114" s="33" t="str">
        <f aca="false">IF(OR(F114="",G114=""),"",EDATE(F114,G114))</f>
        <v/>
      </c>
      <c r="I114" s="20" t="str">
        <f aca="false">IF(A114="","",IF(D114="No","Not required",IF(H114="","Not trained",IF(H114&lt;Dashboard!$C$5,"Expired",IF(H114-Dashboard!$C$5&lt;=Lists!$Q$3,"Expiring","Current")))))</f>
        <v/>
      </c>
      <c r="J114" s="28"/>
      <c r="K114" s="11"/>
    </row>
    <row r="115" customFormat="false" ht="15" hidden="false" customHeight="false" outlineLevel="0" collapsed="false">
      <c r="A115" s="11"/>
      <c r="B115" s="11"/>
      <c r="C115" s="11"/>
      <c r="D115" s="28"/>
      <c r="E115" s="11"/>
      <c r="F115" s="12"/>
      <c r="G115" s="13"/>
      <c r="H115" s="33" t="str">
        <f aca="false">IF(OR(F115="",G115=""),"",EDATE(F115,G115))</f>
        <v/>
      </c>
      <c r="I115" s="20" t="str">
        <f aca="false">IF(A115="","",IF(D115="No","Not required",IF(H115="","Not trained",IF(H115&lt;Dashboard!$C$5,"Expired",IF(H115-Dashboard!$C$5&lt;=Lists!$Q$3,"Expiring","Current")))))</f>
        <v/>
      </c>
      <c r="J115" s="28"/>
      <c r="K115" s="11"/>
    </row>
    <row r="116" customFormat="false" ht="15" hidden="false" customHeight="false" outlineLevel="0" collapsed="false">
      <c r="A116" s="11"/>
      <c r="B116" s="11"/>
      <c r="C116" s="11"/>
      <c r="D116" s="28"/>
      <c r="E116" s="11"/>
      <c r="F116" s="12"/>
      <c r="G116" s="13"/>
      <c r="H116" s="33" t="str">
        <f aca="false">IF(OR(F116="",G116=""),"",EDATE(F116,G116))</f>
        <v/>
      </c>
      <c r="I116" s="20" t="str">
        <f aca="false">IF(A116="","",IF(D116="No","Not required",IF(H116="","Not trained",IF(H116&lt;Dashboard!$C$5,"Expired",IF(H116-Dashboard!$C$5&lt;=Lists!$Q$3,"Expiring","Current")))))</f>
        <v/>
      </c>
      <c r="J116" s="28"/>
      <c r="K116" s="11"/>
    </row>
    <row r="117" customFormat="false" ht="15" hidden="false" customHeight="false" outlineLevel="0" collapsed="false">
      <c r="A117" s="11"/>
      <c r="B117" s="11"/>
      <c r="C117" s="11"/>
      <c r="D117" s="28"/>
      <c r="E117" s="11"/>
      <c r="F117" s="12"/>
      <c r="G117" s="13"/>
      <c r="H117" s="33" t="str">
        <f aca="false">IF(OR(F117="",G117=""),"",EDATE(F117,G117))</f>
        <v/>
      </c>
      <c r="I117" s="20" t="str">
        <f aca="false">IF(A117="","",IF(D117="No","Not required",IF(H117="","Not trained",IF(H117&lt;Dashboard!$C$5,"Expired",IF(H117-Dashboard!$C$5&lt;=Lists!$Q$3,"Expiring","Current")))))</f>
        <v/>
      </c>
      <c r="J117" s="28"/>
      <c r="K117" s="11"/>
    </row>
    <row r="118" customFormat="false" ht="15" hidden="false" customHeight="false" outlineLevel="0" collapsed="false">
      <c r="A118" s="11"/>
      <c r="B118" s="11"/>
      <c r="C118" s="11"/>
      <c r="D118" s="28"/>
      <c r="E118" s="11"/>
      <c r="F118" s="12"/>
      <c r="G118" s="13"/>
      <c r="H118" s="33" t="str">
        <f aca="false">IF(OR(F118="",G118=""),"",EDATE(F118,G118))</f>
        <v/>
      </c>
      <c r="I118" s="20" t="str">
        <f aca="false">IF(A118="","",IF(D118="No","Not required",IF(H118="","Not trained",IF(H118&lt;Dashboard!$C$5,"Expired",IF(H118-Dashboard!$C$5&lt;=Lists!$Q$3,"Expiring","Current")))))</f>
        <v/>
      </c>
      <c r="J118" s="28"/>
      <c r="K118" s="11"/>
    </row>
    <row r="119" customFormat="false" ht="15" hidden="false" customHeight="false" outlineLevel="0" collapsed="false">
      <c r="A119" s="11"/>
      <c r="B119" s="11"/>
      <c r="C119" s="11"/>
      <c r="D119" s="28"/>
      <c r="E119" s="11"/>
      <c r="F119" s="12"/>
      <c r="G119" s="13"/>
      <c r="H119" s="33" t="str">
        <f aca="false">IF(OR(F119="",G119=""),"",EDATE(F119,G119))</f>
        <v/>
      </c>
      <c r="I119" s="20" t="str">
        <f aca="false">IF(A119="","",IF(D119="No","Not required",IF(H119="","Not trained",IF(H119&lt;Dashboard!$C$5,"Expired",IF(H119-Dashboard!$C$5&lt;=Lists!$Q$3,"Expiring","Current")))))</f>
        <v/>
      </c>
      <c r="J119" s="28"/>
      <c r="K119" s="11"/>
    </row>
    <row r="120" customFormat="false" ht="15" hidden="false" customHeight="false" outlineLevel="0" collapsed="false">
      <c r="A120" s="11"/>
      <c r="B120" s="11"/>
      <c r="C120" s="11"/>
      <c r="D120" s="28"/>
      <c r="E120" s="11"/>
      <c r="F120" s="12"/>
      <c r="G120" s="13"/>
      <c r="H120" s="33" t="str">
        <f aca="false">IF(OR(F120="",G120=""),"",EDATE(F120,G120))</f>
        <v/>
      </c>
      <c r="I120" s="20" t="str">
        <f aca="false">IF(A120="","",IF(D120="No","Not required",IF(H120="","Not trained",IF(H120&lt;Dashboard!$C$5,"Expired",IF(H120-Dashboard!$C$5&lt;=Lists!$Q$3,"Expiring","Current")))))</f>
        <v/>
      </c>
      <c r="J120" s="28"/>
      <c r="K120" s="11"/>
    </row>
    <row r="121" customFormat="false" ht="15" hidden="false" customHeight="false" outlineLevel="0" collapsed="false">
      <c r="A121" s="11"/>
      <c r="B121" s="11"/>
      <c r="C121" s="11"/>
      <c r="D121" s="28"/>
      <c r="E121" s="11"/>
      <c r="F121" s="12"/>
      <c r="G121" s="13"/>
      <c r="H121" s="33" t="str">
        <f aca="false">IF(OR(F121="",G121=""),"",EDATE(F121,G121))</f>
        <v/>
      </c>
      <c r="I121" s="20" t="str">
        <f aca="false">IF(A121="","",IF(D121="No","Not required",IF(H121="","Not trained",IF(H121&lt;Dashboard!$C$5,"Expired",IF(H121-Dashboard!$C$5&lt;=Lists!$Q$3,"Expiring","Current")))))</f>
        <v/>
      </c>
      <c r="J121" s="28"/>
      <c r="K121" s="11"/>
    </row>
    <row r="122" customFormat="false" ht="15" hidden="false" customHeight="false" outlineLevel="0" collapsed="false">
      <c r="A122" s="11"/>
      <c r="B122" s="11"/>
      <c r="C122" s="11"/>
      <c r="D122" s="28"/>
      <c r="E122" s="11"/>
      <c r="F122" s="12"/>
      <c r="G122" s="13"/>
      <c r="H122" s="33" t="str">
        <f aca="false">IF(OR(F122="",G122=""),"",EDATE(F122,G122))</f>
        <v/>
      </c>
      <c r="I122" s="20" t="str">
        <f aca="false">IF(A122="","",IF(D122="No","Not required",IF(H122="","Not trained",IF(H122&lt;Dashboard!$C$5,"Expired",IF(H122-Dashboard!$C$5&lt;=Lists!$Q$3,"Expiring","Current")))))</f>
        <v/>
      </c>
      <c r="J122" s="28"/>
      <c r="K122" s="11"/>
    </row>
    <row r="123" customFormat="false" ht="15" hidden="false" customHeight="false" outlineLevel="0" collapsed="false">
      <c r="A123" s="11"/>
      <c r="B123" s="11"/>
      <c r="C123" s="11"/>
      <c r="D123" s="28"/>
      <c r="E123" s="11"/>
      <c r="F123" s="12"/>
      <c r="G123" s="13"/>
      <c r="H123" s="33" t="str">
        <f aca="false">IF(OR(F123="",G123=""),"",EDATE(F123,G123))</f>
        <v/>
      </c>
      <c r="I123" s="20" t="str">
        <f aca="false">IF(A123="","",IF(D123="No","Not required",IF(H123="","Not trained",IF(H123&lt;Dashboard!$C$5,"Expired",IF(H123-Dashboard!$C$5&lt;=Lists!$Q$3,"Expiring","Current")))))</f>
        <v/>
      </c>
      <c r="J123" s="28"/>
      <c r="K123" s="11"/>
    </row>
    <row r="124" customFormat="false" ht="15" hidden="false" customHeight="false" outlineLevel="0" collapsed="false">
      <c r="A124" s="11"/>
      <c r="B124" s="11"/>
      <c r="C124" s="11"/>
      <c r="D124" s="28"/>
      <c r="E124" s="11"/>
      <c r="F124" s="12"/>
      <c r="G124" s="13"/>
      <c r="H124" s="33" t="str">
        <f aca="false">IF(OR(F124="",G124=""),"",EDATE(F124,G124))</f>
        <v/>
      </c>
      <c r="I124" s="20" t="str">
        <f aca="false">IF(A124="","",IF(D124="No","Not required",IF(H124="","Not trained",IF(H124&lt;Dashboard!$C$5,"Expired",IF(H124-Dashboard!$C$5&lt;=Lists!$Q$3,"Expiring","Current")))))</f>
        <v/>
      </c>
      <c r="J124" s="28"/>
      <c r="K124" s="11"/>
    </row>
    <row r="125" customFormat="false" ht="15" hidden="false" customHeight="false" outlineLevel="0" collapsed="false">
      <c r="A125" s="11"/>
      <c r="B125" s="11"/>
      <c r="C125" s="11"/>
      <c r="D125" s="28"/>
      <c r="E125" s="11"/>
      <c r="F125" s="12"/>
      <c r="G125" s="13"/>
      <c r="H125" s="33" t="str">
        <f aca="false">IF(OR(F125="",G125=""),"",EDATE(F125,G125))</f>
        <v/>
      </c>
      <c r="I125" s="20" t="str">
        <f aca="false">IF(A125="","",IF(D125="No","Not required",IF(H125="","Not trained",IF(H125&lt;Dashboard!$C$5,"Expired",IF(H125-Dashboard!$C$5&lt;=Lists!$Q$3,"Expiring","Current")))))</f>
        <v/>
      </c>
      <c r="J125" s="28"/>
      <c r="K125" s="11"/>
    </row>
    <row r="126" customFormat="false" ht="15" hidden="false" customHeight="false" outlineLevel="0" collapsed="false">
      <c r="A126" s="11"/>
      <c r="B126" s="11"/>
      <c r="C126" s="11"/>
      <c r="D126" s="28"/>
      <c r="E126" s="11"/>
      <c r="F126" s="12"/>
      <c r="G126" s="13"/>
      <c r="H126" s="33" t="str">
        <f aca="false">IF(OR(F126="",G126=""),"",EDATE(F126,G126))</f>
        <v/>
      </c>
      <c r="I126" s="20" t="str">
        <f aca="false">IF(A126="","",IF(D126="No","Not required",IF(H126="","Not trained",IF(H126&lt;Dashboard!$C$5,"Expired",IF(H126-Dashboard!$C$5&lt;=Lists!$Q$3,"Expiring","Current")))))</f>
        <v/>
      </c>
      <c r="J126" s="28"/>
      <c r="K126" s="11"/>
    </row>
    <row r="127" customFormat="false" ht="15" hidden="false" customHeight="false" outlineLevel="0" collapsed="false">
      <c r="A127" s="11"/>
      <c r="B127" s="11"/>
      <c r="C127" s="11"/>
      <c r="D127" s="28"/>
      <c r="E127" s="11"/>
      <c r="F127" s="12"/>
      <c r="G127" s="13"/>
      <c r="H127" s="33" t="str">
        <f aca="false">IF(OR(F127="",G127=""),"",EDATE(F127,G127))</f>
        <v/>
      </c>
      <c r="I127" s="20" t="str">
        <f aca="false">IF(A127="","",IF(D127="No","Not required",IF(H127="","Not trained",IF(H127&lt;Dashboard!$C$5,"Expired",IF(H127-Dashboard!$C$5&lt;=Lists!$Q$3,"Expiring","Current")))))</f>
        <v/>
      </c>
      <c r="J127" s="28"/>
      <c r="K127" s="11"/>
    </row>
    <row r="128" customFormat="false" ht="15" hidden="false" customHeight="false" outlineLevel="0" collapsed="false">
      <c r="A128" s="11"/>
      <c r="B128" s="11"/>
      <c r="C128" s="11"/>
      <c r="D128" s="28"/>
      <c r="E128" s="11"/>
      <c r="F128" s="12"/>
      <c r="G128" s="13"/>
      <c r="H128" s="33" t="str">
        <f aca="false">IF(OR(F128="",G128=""),"",EDATE(F128,G128))</f>
        <v/>
      </c>
      <c r="I128" s="20" t="str">
        <f aca="false">IF(A128="","",IF(D128="No","Not required",IF(H128="","Not trained",IF(H128&lt;Dashboard!$C$5,"Expired",IF(H128-Dashboard!$C$5&lt;=Lists!$Q$3,"Expiring","Current")))))</f>
        <v/>
      </c>
      <c r="J128" s="28"/>
      <c r="K128" s="11"/>
    </row>
    <row r="129" customFormat="false" ht="15" hidden="false" customHeight="false" outlineLevel="0" collapsed="false">
      <c r="A129" s="11"/>
      <c r="B129" s="11"/>
      <c r="C129" s="11"/>
      <c r="D129" s="28"/>
      <c r="E129" s="11"/>
      <c r="F129" s="12"/>
      <c r="G129" s="13"/>
      <c r="H129" s="33" t="str">
        <f aca="false">IF(OR(F129="",G129=""),"",EDATE(F129,G129))</f>
        <v/>
      </c>
      <c r="I129" s="20" t="str">
        <f aca="false">IF(A129="","",IF(D129="No","Not required",IF(H129="","Not trained",IF(H129&lt;Dashboard!$C$5,"Expired",IF(H129-Dashboard!$C$5&lt;=Lists!$Q$3,"Expiring","Current")))))</f>
        <v/>
      </c>
      <c r="J129" s="28"/>
      <c r="K129" s="11"/>
    </row>
    <row r="130" customFormat="false" ht="15" hidden="false" customHeight="false" outlineLevel="0" collapsed="false">
      <c r="A130" s="11"/>
      <c r="B130" s="11"/>
      <c r="C130" s="11"/>
      <c r="D130" s="28"/>
      <c r="E130" s="11"/>
      <c r="F130" s="12"/>
      <c r="G130" s="13"/>
      <c r="H130" s="33" t="str">
        <f aca="false">IF(OR(F130="",G130=""),"",EDATE(F130,G130))</f>
        <v/>
      </c>
      <c r="I130" s="20" t="str">
        <f aca="false">IF(A130="","",IF(D130="No","Not required",IF(H130="","Not trained",IF(H130&lt;Dashboard!$C$5,"Expired",IF(H130-Dashboard!$C$5&lt;=Lists!$Q$3,"Expiring","Current")))))</f>
        <v/>
      </c>
      <c r="J130" s="28"/>
      <c r="K130" s="11"/>
    </row>
    <row r="131" customFormat="false" ht="15" hidden="false" customHeight="false" outlineLevel="0" collapsed="false">
      <c r="A131" s="11"/>
      <c r="B131" s="11"/>
      <c r="C131" s="11"/>
      <c r="D131" s="28"/>
      <c r="E131" s="11"/>
      <c r="F131" s="12"/>
      <c r="G131" s="13"/>
      <c r="H131" s="33" t="str">
        <f aca="false">IF(OR(F131="",G131=""),"",EDATE(F131,G131))</f>
        <v/>
      </c>
      <c r="I131" s="20" t="str">
        <f aca="false">IF(A131="","",IF(D131="No","Not required",IF(H131="","Not trained",IF(H131&lt;Dashboard!$C$5,"Expired",IF(H131-Dashboard!$C$5&lt;=Lists!$Q$3,"Expiring","Current")))))</f>
        <v/>
      </c>
      <c r="J131" s="28"/>
      <c r="K131" s="11"/>
    </row>
    <row r="132" customFormat="false" ht="15" hidden="false" customHeight="false" outlineLevel="0" collapsed="false">
      <c r="A132" s="11"/>
      <c r="B132" s="11"/>
      <c r="C132" s="11"/>
      <c r="D132" s="28"/>
      <c r="E132" s="11"/>
      <c r="F132" s="12"/>
      <c r="G132" s="13"/>
      <c r="H132" s="33" t="str">
        <f aca="false">IF(OR(F132="",G132=""),"",EDATE(F132,G132))</f>
        <v/>
      </c>
      <c r="I132" s="20" t="str">
        <f aca="false">IF(A132="","",IF(D132="No","Not required",IF(H132="","Not trained",IF(H132&lt;Dashboard!$C$5,"Expired",IF(H132-Dashboard!$C$5&lt;=Lists!$Q$3,"Expiring","Current")))))</f>
        <v/>
      </c>
      <c r="J132" s="28"/>
      <c r="K132" s="11"/>
    </row>
    <row r="133" customFormat="false" ht="15" hidden="false" customHeight="false" outlineLevel="0" collapsed="false">
      <c r="A133" s="11"/>
      <c r="B133" s="11"/>
      <c r="C133" s="11"/>
      <c r="D133" s="28"/>
      <c r="E133" s="11"/>
      <c r="F133" s="12"/>
      <c r="G133" s="13"/>
      <c r="H133" s="33" t="str">
        <f aca="false">IF(OR(F133="",G133=""),"",EDATE(F133,G133))</f>
        <v/>
      </c>
      <c r="I133" s="20" t="str">
        <f aca="false">IF(A133="","",IF(D133="No","Not required",IF(H133="","Not trained",IF(H133&lt;Dashboard!$C$5,"Expired",IF(H133-Dashboard!$C$5&lt;=Lists!$Q$3,"Expiring","Current")))))</f>
        <v/>
      </c>
      <c r="J133" s="28"/>
      <c r="K133" s="11"/>
    </row>
    <row r="134" customFormat="false" ht="15" hidden="false" customHeight="false" outlineLevel="0" collapsed="false">
      <c r="A134" s="11"/>
      <c r="B134" s="11"/>
      <c r="C134" s="11"/>
      <c r="D134" s="28"/>
      <c r="E134" s="11"/>
      <c r="F134" s="12"/>
      <c r="G134" s="13"/>
      <c r="H134" s="33" t="str">
        <f aca="false">IF(OR(F134="",G134=""),"",EDATE(F134,G134))</f>
        <v/>
      </c>
      <c r="I134" s="20" t="str">
        <f aca="false">IF(A134="","",IF(D134="No","Not required",IF(H134="","Not trained",IF(H134&lt;Dashboard!$C$5,"Expired",IF(H134-Dashboard!$C$5&lt;=Lists!$Q$3,"Expiring","Current")))))</f>
        <v/>
      </c>
      <c r="J134" s="28"/>
      <c r="K134" s="11"/>
    </row>
    <row r="135" customFormat="false" ht="15" hidden="false" customHeight="false" outlineLevel="0" collapsed="false">
      <c r="A135" s="11"/>
      <c r="B135" s="11"/>
      <c r="C135" s="11"/>
      <c r="D135" s="28"/>
      <c r="E135" s="11"/>
      <c r="F135" s="12"/>
      <c r="G135" s="13"/>
      <c r="H135" s="33" t="str">
        <f aca="false">IF(OR(F135="",G135=""),"",EDATE(F135,G135))</f>
        <v/>
      </c>
      <c r="I135" s="20" t="str">
        <f aca="false">IF(A135="","",IF(D135="No","Not required",IF(H135="","Not trained",IF(H135&lt;Dashboard!$C$5,"Expired",IF(H135-Dashboard!$C$5&lt;=Lists!$Q$3,"Expiring","Current")))))</f>
        <v/>
      </c>
      <c r="J135" s="28"/>
      <c r="K135" s="11"/>
    </row>
    <row r="136" customFormat="false" ht="15" hidden="false" customHeight="false" outlineLevel="0" collapsed="false">
      <c r="A136" s="11"/>
      <c r="B136" s="11"/>
      <c r="C136" s="11"/>
      <c r="D136" s="28"/>
      <c r="E136" s="11"/>
      <c r="F136" s="12"/>
      <c r="G136" s="13"/>
      <c r="H136" s="33" t="str">
        <f aca="false">IF(OR(F136="",G136=""),"",EDATE(F136,G136))</f>
        <v/>
      </c>
      <c r="I136" s="20" t="str">
        <f aca="false">IF(A136="","",IF(D136="No","Not required",IF(H136="","Not trained",IF(H136&lt;Dashboard!$C$5,"Expired",IF(H136-Dashboard!$C$5&lt;=Lists!$Q$3,"Expiring","Current")))))</f>
        <v/>
      </c>
      <c r="J136" s="28"/>
      <c r="K136" s="11"/>
    </row>
    <row r="137" customFormat="false" ht="15" hidden="false" customHeight="false" outlineLevel="0" collapsed="false">
      <c r="A137" s="11"/>
      <c r="B137" s="11"/>
      <c r="C137" s="11"/>
      <c r="D137" s="28"/>
      <c r="E137" s="11"/>
      <c r="F137" s="12"/>
      <c r="G137" s="13"/>
      <c r="H137" s="33" t="str">
        <f aca="false">IF(OR(F137="",G137=""),"",EDATE(F137,G137))</f>
        <v/>
      </c>
      <c r="I137" s="20" t="str">
        <f aca="false">IF(A137="","",IF(D137="No","Not required",IF(H137="","Not trained",IF(H137&lt;Dashboard!$C$5,"Expired",IF(H137-Dashboard!$C$5&lt;=Lists!$Q$3,"Expiring","Current")))))</f>
        <v/>
      </c>
      <c r="J137" s="28"/>
      <c r="K137" s="11"/>
    </row>
    <row r="138" customFormat="false" ht="15" hidden="false" customHeight="false" outlineLevel="0" collapsed="false">
      <c r="A138" s="11"/>
      <c r="B138" s="11"/>
      <c r="C138" s="11"/>
      <c r="D138" s="28"/>
      <c r="E138" s="11"/>
      <c r="F138" s="12"/>
      <c r="G138" s="13"/>
      <c r="H138" s="33" t="str">
        <f aca="false">IF(OR(F138="",G138=""),"",EDATE(F138,G138))</f>
        <v/>
      </c>
      <c r="I138" s="20" t="str">
        <f aca="false">IF(A138="","",IF(D138="No","Not required",IF(H138="","Not trained",IF(H138&lt;Dashboard!$C$5,"Expired",IF(H138-Dashboard!$C$5&lt;=Lists!$Q$3,"Expiring","Current")))))</f>
        <v/>
      </c>
      <c r="J138" s="28"/>
      <c r="K138" s="11"/>
    </row>
    <row r="139" customFormat="false" ht="15" hidden="false" customHeight="false" outlineLevel="0" collapsed="false">
      <c r="A139" s="11"/>
      <c r="B139" s="11"/>
      <c r="C139" s="11"/>
      <c r="D139" s="28"/>
      <c r="E139" s="11"/>
      <c r="F139" s="12"/>
      <c r="G139" s="13"/>
      <c r="H139" s="33" t="str">
        <f aca="false">IF(OR(F139="",G139=""),"",EDATE(F139,G139))</f>
        <v/>
      </c>
      <c r="I139" s="20" t="str">
        <f aca="false">IF(A139="","",IF(D139="No","Not required",IF(H139="","Not trained",IF(H139&lt;Dashboard!$C$5,"Expired",IF(H139-Dashboard!$C$5&lt;=Lists!$Q$3,"Expiring","Current")))))</f>
        <v/>
      </c>
      <c r="J139" s="28"/>
      <c r="K139" s="11"/>
    </row>
    <row r="140" customFormat="false" ht="15" hidden="false" customHeight="false" outlineLevel="0" collapsed="false">
      <c r="A140" s="11"/>
      <c r="B140" s="11"/>
      <c r="C140" s="11"/>
      <c r="D140" s="28"/>
      <c r="E140" s="11"/>
      <c r="F140" s="12"/>
      <c r="G140" s="13"/>
      <c r="H140" s="33" t="str">
        <f aca="false">IF(OR(F140="",G140=""),"",EDATE(F140,G140))</f>
        <v/>
      </c>
      <c r="I140" s="20" t="str">
        <f aca="false">IF(A140="","",IF(D140="No","Not required",IF(H140="","Not trained",IF(H140&lt;Dashboard!$C$5,"Expired",IF(H140-Dashboard!$C$5&lt;=Lists!$Q$3,"Expiring","Current")))))</f>
        <v/>
      </c>
      <c r="J140" s="28"/>
      <c r="K140" s="11"/>
    </row>
    <row r="141" customFormat="false" ht="15" hidden="false" customHeight="false" outlineLevel="0" collapsed="false">
      <c r="A141" s="11"/>
      <c r="B141" s="11"/>
      <c r="C141" s="11"/>
      <c r="D141" s="28"/>
      <c r="E141" s="11"/>
      <c r="F141" s="12"/>
      <c r="G141" s="13"/>
      <c r="H141" s="33" t="str">
        <f aca="false">IF(OR(F141="",G141=""),"",EDATE(F141,G141))</f>
        <v/>
      </c>
      <c r="I141" s="20" t="str">
        <f aca="false">IF(A141="","",IF(D141="No","Not required",IF(H141="","Not trained",IF(H141&lt;Dashboard!$C$5,"Expired",IF(H141-Dashboard!$C$5&lt;=Lists!$Q$3,"Expiring","Current")))))</f>
        <v/>
      </c>
      <c r="J141" s="28"/>
      <c r="K141" s="11"/>
    </row>
    <row r="142" customFormat="false" ht="15" hidden="false" customHeight="false" outlineLevel="0" collapsed="false">
      <c r="A142" s="11"/>
      <c r="B142" s="11"/>
      <c r="C142" s="11"/>
      <c r="D142" s="28"/>
      <c r="E142" s="11"/>
      <c r="F142" s="12"/>
      <c r="G142" s="13"/>
      <c r="H142" s="33" t="str">
        <f aca="false">IF(OR(F142="",G142=""),"",EDATE(F142,G142))</f>
        <v/>
      </c>
      <c r="I142" s="20" t="str">
        <f aca="false">IF(A142="","",IF(D142="No","Not required",IF(H142="","Not trained",IF(H142&lt;Dashboard!$C$5,"Expired",IF(H142-Dashboard!$C$5&lt;=Lists!$Q$3,"Expiring","Current")))))</f>
        <v/>
      </c>
      <c r="J142" s="28"/>
      <c r="K142" s="11"/>
    </row>
    <row r="143" customFormat="false" ht="15" hidden="false" customHeight="false" outlineLevel="0" collapsed="false">
      <c r="A143" s="11"/>
      <c r="B143" s="11"/>
      <c r="C143" s="11"/>
      <c r="D143" s="28"/>
      <c r="E143" s="11"/>
      <c r="F143" s="12"/>
      <c r="G143" s="13"/>
      <c r="H143" s="33" t="str">
        <f aca="false">IF(OR(F143="",G143=""),"",EDATE(F143,G143))</f>
        <v/>
      </c>
      <c r="I143" s="20" t="str">
        <f aca="false">IF(A143="","",IF(D143="No","Not required",IF(H143="","Not trained",IF(H143&lt;Dashboard!$C$5,"Expired",IF(H143-Dashboard!$C$5&lt;=Lists!$Q$3,"Expiring","Current")))))</f>
        <v/>
      </c>
      <c r="J143" s="28"/>
      <c r="K143" s="11"/>
    </row>
    <row r="144" customFormat="false" ht="15" hidden="false" customHeight="false" outlineLevel="0" collapsed="false">
      <c r="A144" s="11"/>
      <c r="B144" s="11"/>
      <c r="C144" s="11"/>
      <c r="D144" s="28"/>
      <c r="E144" s="11"/>
      <c r="F144" s="12"/>
      <c r="G144" s="13"/>
      <c r="H144" s="33" t="str">
        <f aca="false">IF(OR(F144="",G144=""),"",EDATE(F144,G144))</f>
        <v/>
      </c>
      <c r="I144" s="20" t="str">
        <f aca="false">IF(A144="","",IF(D144="No","Not required",IF(H144="","Not trained",IF(H144&lt;Dashboard!$C$5,"Expired",IF(H144-Dashboard!$C$5&lt;=Lists!$Q$3,"Expiring","Current")))))</f>
        <v/>
      </c>
      <c r="J144" s="28"/>
      <c r="K144" s="11"/>
    </row>
    <row r="145" customFormat="false" ht="15" hidden="false" customHeight="false" outlineLevel="0" collapsed="false">
      <c r="A145" s="11"/>
      <c r="B145" s="11"/>
      <c r="C145" s="11"/>
      <c r="D145" s="28"/>
      <c r="E145" s="11"/>
      <c r="F145" s="12"/>
      <c r="G145" s="13"/>
      <c r="H145" s="33" t="str">
        <f aca="false">IF(OR(F145="",G145=""),"",EDATE(F145,G145))</f>
        <v/>
      </c>
      <c r="I145" s="20" t="str">
        <f aca="false">IF(A145="","",IF(D145="No","Not required",IF(H145="","Not trained",IF(H145&lt;Dashboard!$C$5,"Expired",IF(H145-Dashboard!$C$5&lt;=Lists!$Q$3,"Expiring","Current")))))</f>
        <v/>
      </c>
      <c r="J145" s="28"/>
      <c r="K145" s="11"/>
    </row>
    <row r="146" customFormat="false" ht="15" hidden="false" customHeight="false" outlineLevel="0" collapsed="false">
      <c r="A146" s="11"/>
      <c r="B146" s="11"/>
      <c r="C146" s="11"/>
      <c r="D146" s="28"/>
      <c r="E146" s="11"/>
      <c r="F146" s="12"/>
      <c r="G146" s="13"/>
      <c r="H146" s="33" t="str">
        <f aca="false">IF(OR(F146="",G146=""),"",EDATE(F146,G146))</f>
        <v/>
      </c>
      <c r="I146" s="20" t="str">
        <f aca="false">IF(A146="","",IF(D146="No","Not required",IF(H146="","Not trained",IF(H146&lt;Dashboard!$C$5,"Expired",IF(H146-Dashboard!$C$5&lt;=Lists!$Q$3,"Expiring","Current")))))</f>
        <v/>
      </c>
      <c r="J146" s="28"/>
      <c r="K146" s="11"/>
    </row>
    <row r="147" customFormat="false" ht="15" hidden="false" customHeight="false" outlineLevel="0" collapsed="false">
      <c r="A147" s="11"/>
      <c r="B147" s="11"/>
      <c r="C147" s="11"/>
      <c r="D147" s="28"/>
      <c r="E147" s="11"/>
      <c r="F147" s="12"/>
      <c r="G147" s="13"/>
      <c r="H147" s="33" t="str">
        <f aca="false">IF(OR(F147="",G147=""),"",EDATE(F147,G147))</f>
        <v/>
      </c>
      <c r="I147" s="20" t="str">
        <f aca="false">IF(A147="","",IF(D147="No","Not required",IF(H147="","Not trained",IF(H147&lt;Dashboard!$C$5,"Expired",IF(H147-Dashboard!$C$5&lt;=Lists!$Q$3,"Expiring","Current")))))</f>
        <v/>
      </c>
      <c r="J147" s="28"/>
      <c r="K147" s="11"/>
    </row>
    <row r="148" customFormat="false" ht="15" hidden="false" customHeight="false" outlineLevel="0" collapsed="false">
      <c r="A148" s="11"/>
      <c r="B148" s="11"/>
      <c r="C148" s="11"/>
      <c r="D148" s="28"/>
      <c r="E148" s="11"/>
      <c r="F148" s="12"/>
      <c r="G148" s="13"/>
      <c r="H148" s="33" t="str">
        <f aca="false">IF(OR(F148="",G148=""),"",EDATE(F148,G148))</f>
        <v/>
      </c>
      <c r="I148" s="20" t="str">
        <f aca="false">IF(A148="","",IF(D148="No","Not required",IF(H148="","Not trained",IF(H148&lt;Dashboard!$C$5,"Expired",IF(H148-Dashboard!$C$5&lt;=Lists!$Q$3,"Expiring","Current")))))</f>
        <v/>
      </c>
      <c r="J148" s="28"/>
      <c r="K148" s="11"/>
    </row>
    <row r="149" customFormat="false" ht="15" hidden="false" customHeight="false" outlineLevel="0" collapsed="false">
      <c r="A149" s="11"/>
      <c r="B149" s="11"/>
      <c r="C149" s="11"/>
      <c r="D149" s="28"/>
      <c r="E149" s="11"/>
      <c r="F149" s="12"/>
      <c r="G149" s="13"/>
      <c r="H149" s="33" t="str">
        <f aca="false">IF(OR(F149="",G149=""),"",EDATE(F149,G149))</f>
        <v/>
      </c>
      <c r="I149" s="20" t="str">
        <f aca="false">IF(A149="","",IF(D149="No","Not required",IF(H149="","Not trained",IF(H149&lt;Dashboard!$C$5,"Expired",IF(H149-Dashboard!$C$5&lt;=Lists!$Q$3,"Expiring","Current")))))</f>
        <v/>
      </c>
      <c r="J149" s="28"/>
      <c r="K149" s="11"/>
    </row>
    <row r="150" customFormat="false" ht="15" hidden="false" customHeight="false" outlineLevel="0" collapsed="false">
      <c r="A150" s="11"/>
      <c r="B150" s="11"/>
      <c r="C150" s="11"/>
      <c r="D150" s="28"/>
      <c r="E150" s="11"/>
      <c r="F150" s="12"/>
      <c r="G150" s="13"/>
      <c r="H150" s="33" t="str">
        <f aca="false">IF(OR(F150="",G150=""),"",EDATE(F150,G150))</f>
        <v/>
      </c>
      <c r="I150" s="20" t="str">
        <f aca="false">IF(A150="","",IF(D150="No","Not required",IF(H150="","Not trained",IF(H150&lt;Dashboard!$C$5,"Expired",IF(H150-Dashboard!$C$5&lt;=Lists!$Q$3,"Expiring","Current")))))</f>
        <v/>
      </c>
      <c r="J150" s="28"/>
      <c r="K150" s="11"/>
    </row>
    <row r="151" customFormat="false" ht="15" hidden="false" customHeight="false" outlineLevel="0" collapsed="false">
      <c r="A151" s="11"/>
      <c r="B151" s="11"/>
      <c r="C151" s="11"/>
      <c r="D151" s="28"/>
      <c r="E151" s="11"/>
      <c r="F151" s="12"/>
      <c r="G151" s="13"/>
      <c r="H151" s="33" t="str">
        <f aca="false">IF(OR(F151="",G151=""),"",EDATE(F151,G151))</f>
        <v/>
      </c>
      <c r="I151" s="20" t="str">
        <f aca="false">IF(A151="","",IF(D151="No","Not required",IF(H151="","Not trained",IF(H151&lt;Dashboard!$C$5,"Expired",IF(H151-Dashboard!$C$5&lt;=Lists!$Q$3,"Expiring","Current")))))</f>
        <v/>
      </c>
      <c r="J151" s="28"/>
      <c r="K151" s="11"/>
    </row>
    <row r="152" customFormat="false" ht="15" hidden="false" customHeight="false" outlineLevel="0" collapsed="false">
      <c r="A152" s="11"/>
      <c r="B152" s="11"/>
      <c r="C152" s="11"/>
      <c r="D152" s="28"/>
      <c r="E152" s="11"/>
      <c r="F152" s="12"/>
      <c r="G152" s="13"/>
      <c r="H152" s="33" t="str">
        <f aca="false">IF(OR(F152="",G152=""),"",EDATE(F152,G152))</f>
        <v/>
      </c>
      <c r="I152" s="20" t="str">
        <f aca="false">IF(A152="","",IF(D152="No","Not required",IF(H152="","Not trained",IF(H152&lt;Dashboard!$C$5,"Expired",IF(H152-Dashboard!$C$5&lt;=Lists!$Q$3,"Expiring","Current")))))</f>
        <v/>
      </c>
      <c r="J152" s="28"/>
      <c r="K152" s="11"/>
    </row>
    <row r="153" customFormat="false" ht="15" hidden="false" customHeight="false" outlineLevel="0" collapsed="false">
      <c r="A153" s="11"/>
      <c r="B153" s="11"/>
      <c r="C153" s="11"/>
      <c r="D153" s="28"/>
      <c r="E153" s="11"/>
      <c r="F153" s="12"/>
      <c r="G153" s="13"/>
      <c r="H153" s="33" t="str">
        <f aca="false">IF(OR(F153="",G153=""),"",EDATE(F153,G153))</f>
        <v/>
      </c>
      <c r="I153" s="20" t="str">
        <f aca="false">IF(A153="","",IF(D153="No","Not required",IF(H153="","Not trained",IF(H153&lt;Dashboard!$C$5,"Expired",IF(H153-Dashboard!$C$5&lt;=Lists!$Q$3,"Expiring","Current")))))</f>
        <v/>
      </c>
      <c r="J153" s="28"/>
      <c r="K153" s="11"/>
    </row>
    <row r="154" customFormat="false" ht="15" hidden="false" customHeight="false" outlineLevel="0" collapsed="false">
      <c r="A154" s="11"/>
      <c r="B154" s="11"/>
      <c r="C154" s="11"/>
      <c r="D154" s="28"/>
      <c r="E154" s="11"/>
      <c r="F154" s="12"/>
      <c r="G154" s="13"/>
      <c r="H154" s="33" t="str">
        <f aca="false">IF(OR(F154="",G154=""),"",EDATE(F154,G154))</f>
        <v/>
      </c>
      <c r="I154" s="20" t="str">
        <f aca="false">IF(A154="","",IF(D154="No","Not required",IF(H154="","Not trained",IF(H154&lt;Dashboard!$C$5,"Expired",IF(H154-Dashboard!$C$5&lt;=Lists!$Q$3,"Expiring","Current")))))</f>
        <v/>
      </c>
      <c r="J154" s="28"/>
      <c r="K154" s="11"/>
    </row>
  </sheetData>
  <conditionalFormatting sqref="I5:I154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0">
      <formula>"Not required"</formula>
    </cfRule>
    <cfRule type="cellIs" priority="4" operator="equal" aboveAverage="0" equalAverage="0" bottom="0" percent="0" rank="0" text="" dxfId="1">
      <formula>"Expiring"</formula>
    </cfRule>
    <cfRule type="cellIs" priority="5" operator="equal" aboveAverage="0" equalAverage="0" bottom="0" percent="0" rank="0" text="" dxfId="2">
      <formula>"Expired"</formula>
    </cfRule>
    <cfRule type="cellIs" priority="6" operator="equal" aboveAverage="0" equalAverage="0" bottom="0" percent="0" rank="0" text="" dxfId="2">
      <formula>"Not trained"</formula>
    </cfRule>
  </conditionalFormatting>
  <dataValidations count="3">
    <dataValidation allowBlank="true" error="Please choose a value from the list." errorStyle="stop" errorTitle="Invalid entry" operator="between" showDropDown="false" showErrorMessage="false" showInputMessage="false" sqref="E5:E154" type="list">
      <formula1>Lists!$K$2:$K$11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15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5:J15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352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353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14" t="s">
        <v>262</v>
      </c>
      <c r="B4" s="14" t="s">
        <v>354</v>
      </c>
      <c r="C4" s="14" t="s">
        <v>355</v>
      </c>
      <c r="D4" s="14" t="s">
        <v>356</v>
      </c>
      <c r="E4" s="14" t="s">
        <v>357</v>
      </c>
      <c r="F4" s="14" t="s">
        <v>358</v>
      </c>
      <c r="G4" s="14" t="s">
        <v>359</v>
      </c>
      <c r="H4" s="14" t="s">
        <v>360</v>
      </c>
      <c r="I4" s="14" t="s">
        <v>361</v>
      </c>
    </row>
    <row r="5" customFormat="false" ht="26.85" hidden="false" customHeight="false" outlineLevel="0" collapsed="false">
      <c r="A5" s="12" t="n">
        <v>46254</v>
      </c>
      <c r="B5" s="11" t="s">
        <v>362</v>
      </c>
      <c r="C5" s="11" t="s">
        <v>126</v>
      </c>
      <c r="D5" s="28" t="s">
        <v>113</v>
      </c>
      <c r="E5" s="12" t="n">
        <v>46254</v>
      </c>
      <c r="F5" s="13" t="n">
        <v>28</v>
      </c>
      <c r="G5" s="34" t="n">
        <v>1.5</v>
      </c>
      <c r="H5" s="20" t="str">
        <f aca="false">IF(A5="","",IF(D5="Yes","Completed",IF(A5&lt;Dashboard!$C$5,"Missed","Scheduled")))</f>
        <v>Completed</v>
      </c>
      <c r="I5" s="11" t="s">
        <v>363</v>
      </c>
    </row>
    <row r="6" customFormat="false" ht="26.85" hidden="false" customHeight="false" outlineLevel="0" collapsed="false">
      <c r="A6" s="12" t="n">
        <v>46290</v>
      </c>
      <c r="B6" s="11" t="s">
        <v>364</v>
      </c>
      <c r="C6" s="11" t="s">
        <v>196</v>
      </c>
      <c r="D6" s="28" t="s">
        <v>106</v>
      </c>
      <c r="E6" s="12"/>
      <c r="F6" s="13"/>
      <c r="G6" s="34"/>
      <c r="H6" s="20" t="str">
        <f aca="false">IF(A6="","",IF(D6="Yes","Completed",IF(A6&lt;Dashboard!$C$5,"Missed","Scheduled")))</f>
        <v>Missed</v>
      </c>
      <c r="I6" s="11"/>
    </row>
    <row r="7" customFormat="false" ht="26.85" hidden="false" customHeight="false" outlineLevel="0" collapsed="false">
      <c r="A7" s="12" t="n">
        <v>46338</v>
      </c>
      <c r="B7" s="11" t="s">
        <v>365</v>
      </c>
      <c r="C7" s="11" t="s">
        <v>273</v>
      </c>
      <c r="D7" s="28"/>
      <c r="E7" s="12"/>
      <c r="F7" s="13"/>
      <c r="G7" s="34"/>
      <c r="H7" s="20" t="str">
        <f aca="false">IF(A7="","",IF(D7="Yes","Completed",IF(A7&lt;Dashboard!$C$5,"Missed","Scheduled")))</f>
        <v>Scheduled</v>
      </c>
      <c r="I7" s="11"/>
    </row>
    <row r="8" customFormat="false" ht="15" hidden="false" customHeight="false" outlineLevel="0" collapsed="false">
      <c r="A8" s="12"/>
      <c r="B8" s="11"/>
      <c r="C8" s="11"/>
      <c r="D8" s="28"/>
      <c r="E8" s="12"/>
      <c r="F8" s="13"/>
      <c r="G8" s="34"/>
      <c r="H8" s="20" t="str">
        <f aca="false">IF(A8="","",IF(D8="Yes","Completed",IF(A8&lt;Dashboard!$C$5,"Missed","Scheduled")))</f>
        <v/>
      </c>
      <c r="I8" s="11"/>
    </row>
    <row r="9" customFormat="false" ht="15" hidden="false" customHeight="false" outlineLevel="0" collapsed="false">
      <c r="A9" s="12"/>
      <c r="B9" s="11"/>
      <c r="C9" s="11"/>
      <c r="D9" s="28"/>
      <c r="E9" s="12"/>
      <c r="F9" s="13"/>
      <c r="G9" s="34"/>
      <c r="H9" s="20" t="str">
        <f aca="false">IF(A9="","",IF(D9="Yes","Completed",IF(A9&lt;Dashboard!$C$5,"Missed","Scheduled")))</f>
        <v/>
      </c>
      <c r="I9" s="11"/>
    </row>
    <row r="10" customFormat="false" ht="15" hidden="false" customHeight="false" outlineLevel="0" collapsed="false">
      <c r="A10" s="12"/>
      <c r="B10" s="11"/>
      <c r="C10" s="11"/>
      <c r="D10" s="28"/>
      <c r="E10" s="12"/>
      <c r="F10" s="13"/>
      <c r="G10" s="34"/>
      <c r="H10" s="20" t="str">
        <f aca="false">IF(A10="","",IF(D10="Yes","Completed",IF(A10&lt;Dashboard!$C$5,"Missed","Scheduled")))</f>
        <v/>
      </c>
      <c r="I10" s="11"/>
    </row>
    <row r="11" customFormat="false" ht="15" hidden="false" customHeight="false" outlineLevel="0" collapsed="false">
      <c r="A11" s="12"/>
      <c r="B11" s="11"/>
      <c r="C11" s="11"/>
      <c r="D11" s="28"/>
      <c r="E11" s="12"/>
      <c r="F11" s="13"/>
      <c r="G11" s="34"/>
      <c r="H11" s="20" t="str">
        <f aca="false">IF(A11="","",IF(D11="Yes","Completed",IF(A11&lt;Dashboard!$C$5,"Missed","Scheduled")))</f>
        <v/>
      </c>
      <c r="I11" s="11"/>
    </row>
    <row r="12" customFormat="false" ht="15" hidden="false" customHeight="false" outlineLevel="0" collapsed="false">
      <c r="A12" s="12"/>
      <c r="B12" s="11"/>
      <c r="C12" s="11"/>
      <c r="D12" s="28"/>
      <c r="E12" s="12"/>
      <c r="F12" s="13"/>
      <c r="G12" s="34"/>
      <c r="H12" s="20" t="str">
        <f aca="false">IF(A12="","",IF(D12="Yes","Completed",IF(A12&lt;Dashboard!$C$5,"Missed","Scheduled")))</f>
        <v/>
      </c>
      <c r="I12" s="11"/>
    </row>
    <row r="13" customFormat="false" ht="15" hidden="false" customHeight="false" outlineLevel="0" collapsed="false">
      <c r="A13" s="12"/>
      <c r="B13" s="11"/>
      <c r="C13" s="11"/>
      <c r="D13" s="28"/>
      <c r="E13" s="12"/>
      <c r="F13" s="13"/>
      <c r="G13" s="34"/>
      <c r="H13" s="20" t="str">
        <f aca="false">IF(A13="","",IF(D13="Yes","Completed",IF(A13&lt;Dashboard!$C$5,"Missed","Scheduled")))</f>
        <v/>
      </c>
      <c r="I13" s="11"/>
    </row>
    <row r="14" customFormat="false" ht="15" hidden="false" customHeight="false" outlineLevel="0" collapsed="false">
      <c r="A14" s="12"/>
      <c r="B14" s="11"/>
      <c r="C14" s="11"/>
      <c r="D14" s="28"/>
      <c r="E14" s="12"/>
      <c r="F14" s="13"/>
      <c r="G14" s="34"/>
      <c r="H14" s="20" t="str">
        <f aca="false">IF(A14="","",IF(D14="Yes","Completed",IF(A14&lt;Dashboard!$C$5,"Missed","Scheduled")))</f>
        <v/>
      </c>
      <c r="I14" s="11"/>
    </row>
    <row r="15" customFormat="false" ht="15" hidden="false" customHeight="false" outlineLevel="0" collapsed="false">
      <c r="A15" s="12"/>
      <c r="B15" s="11"/>
      <c r="C15" s="11"/>
      <c r="D15" s="28"/>
      <c r="E15" s="12"/>
      <c r="F15" s="13"/>
      <c r="G15" s="34"/>
      <c r="H15" s="20" t="str">
        <f aca="false">IF(A15="","",IF(D15="Yes","Completed",IF(A15&lt;Dashboard!$C$5,"Missed","Scheduled")))</f>
        <v/>
      </c>
      <c r="I15" s="11"/>
    </row>
    <row r="16" customFormat="false" ht="15" hidden="false" customHeight="false" outlineLevel="0" collapsed="false">
      <c r="A16" s="12"/>
      <c r="B16" s="11"/>
      <c r="C16" s="11"/>
      <c r="D16" s="28"/>
      <c r="E16" s="12"/>
      <c r="F16" s="13"/>
      <c r="G16" s="34"/>
      <c r="H16" s="20" t="str">
        <f aca="false">IF(A16="","",IF(D16="Yes","Completed",IF(A16&lt;Dashboard!$C$5,"Missed","Scheduled")))</f>
        <v/>
      </c>
      <c r="I16" s="11"/>
    </row>
    <row r="17" customFormat="false" ht="15" hidden="false" customHeight="false" outlineLevel="0" collapsed="false">
      <c r="A17" s="12"/>
      <c r="B17" s="11"/>
      <c r="C17" s="11"/>
      <c r="D17" s="28"/>
      <c r="E17" s="12"/>
      <c r="F17" s="13"/>
      <c r="G17" s="34"/>
      <c r="H17" s="20" t="str">
        <f aca="false">IF(A17="","",IF(D17="Yes","Completed",IF(A17&lt;Dashboard!$C$5,"Missed","Scheduled")))</f>
        <v/>
      </c>
      <c r="I17" s="11"/>
    </row>
    <row r="18" customFormat="false" ht="15" hidden="false" customHeight="false" outlineLevel="0" collapsed="false">
      <c r="A18" s="12"/>
      <c r="B18" s="11"/>
      <c r="C18" s="11"/>
      <c r="D18" s="28"/>
      <c r="E18" s="12"/>
      <c r="F18" s="13"/>
      <c r="G18" s="34"/>
      <c r="H18" s="20" t="str">
        <f aca="false">IF(A18="","",IF(D18="Yes","Completed",IF(A18&lt;Dashboard!$C$5,"Missed","Scheduled")))</f>
        <v/>
      </c>
      <c r="I18" s="11"/>
    </row>
    <row r="19" customFormat="false" ht="15" hidden="false" customHeight="false" outlineLevel="0" collapsed="false">
      <c r="A19" s="12"/>
      <c r="B19" s="11"/>
      <c r="C19" s="11"/>
      <c r="D19" s="28"/>
      <c r="E19" s="12"/>
      <c r="F19" s="13"/>
      <c r="G19" s="34"/>
      <c r="H19" s="20" t="str">
        <f aca="false">IF(A19="","",IF(D19="Yes","Completed",IF(A19&lt;Dashboard!$C$5,"Missed","Scheduled")))</f>
        <v/>
      </c>
      <c r="I19" s="11"/>
    </row>
    <row r="20" customFormat="false" ht="15" hidden="false" customHeight="false" outlineLevel="0" collapsed="false">
      <c r="A20" s="12"/>
      <c r="B20" s="11"/>
      <c r="C20" s="11"/>
      <c r="D20" s="28"/>
      <c r="E20" s="12"/>
      <c r="F20" s="13"/>
      <c r="G20" s="34"/>
      <c r="H20" s="20" t="str">
        <f aca="false">IF(A20="","",IF(D20="Yes","Completed",IF(A20&lt;Dashboard!$C$5,"Missed","Scheduled")))</f>
        <v/>
      </c>
      <c r="I20" s="11"/>
    </row>
    <row r="21" customFormat="false" ht="15" hidden="false" customHeight="false" outlineLevel="0" collapsed="false">
      <c r="A21" s="12"/>
      <c r="B21" s="11"/>
      <c r="C21" s="11"/>
      <c r="D21" s="28"/>
      <c r="E21" s="12"/>
      <c r="F21" s="13"/>
      <c r="G21" s="34"/>
      <c r="H21" s="20" t="str">
        <f aca="false">IF(A21="","",IF(D21="Yes","Completed",IF(A21&lt;Dashboard!$C$5,"Missed","Scheduled")))</f>
        <v/>
      </c>
      <c r="I21" s="11"/>
    </row>
    <row r="22" customFormat="false" ht="15" hidden="false" customHeight="false" outlineLevel="0" collapsed="false">
      <c r="A22" s="12"/>
      <c r="B22" s="11"/>
      <c r="C22" s="11"/>
      <c r="D22" s="28"/>
      <c r="E22" s="12"/>
      <c r="F22" s="13"/>
      <c r="G22" s="34"/>
      <c r="H22" s="20" t="str">
        <f aca="false">IF(A22="","",IF(D22="Yes","Completed",IF(A22&lt;Dashboard!$C$5,"Missed","Scheduled")))</f>
        <v/>
      </c>
      <c r="I22" s="11"/>
    </row>
    <row r="23" customFormat="false" ht="15" hidden="false" customHeight="false" outlineLevel="0" collapsed="false">
      <c r="A23" s="12"/>
      <c r="B23" s="11"/>
      <c r="C23" s="11"/>
      <c r="D23" s="28"/>
      <c r="E23" s="12"/>
      <c r="F23" s="13"/>
      <c r="G23" s="34"/>
      <c r="H23" s="20" t="str">
        <f aca="false">IF(A23="","",IF(D23="Yes","Completed",IF(A23&lt;Dashboard!$C$5,"Missed","Scheduled")))</f>
        <v/>
      </c>
      <c r="I23" s="11"/>
    </row>
    <row r="24" customFormat="false" ht="15" hidden="false" customHeight="false" outlineLevel="0" collapsed="false">
      <c r="A24" s="12"/>
      <c r="B24" s="11"/>
      <c r="C24" s="11"/>
      <c r="D24" s="28"/>
      <c r="E24" s="12"/>
      <c r="F24" s="13"/>
      <c r="G24" s="34"/>
      <c r="H24" s="20" t="str">
        <f aca="false">IF(A24="","",IF(D24="Yes","Completed",IF(A24&lt;Dashboard!$C$5,"Missed","Scheduled")))</f>
        <v/>
      </c>
      <c r="I24" s="11"/>
    </row>
    <row r="25" customFormat="false" ht="15" hidden="false" customHeight="false" outlineLevel="0" collapsed="false">
      <c r="A25" s="12"/>
      <c r="B25" s="11"/>
      <c r="C25" s="11"/>
      <c r="D25" s="28"/>
      <c r="E25" s="12"/>
      <c r="F25" s="13"/>
      <c r="G25" s="34"/>
      <c r="H25" s="20" t="str">
        <f aca="false">IF(A25="","",IF(D25="Yes","Completed",IF(A25&lt;Dashboard!$C$5,"Missed","Scheduled")))</f>
        <v/>
      </c>
      <c r="I25" s="11"/>
    </row>
    <row r="26" customFormat="false" ht="15" hidden="false" customHeight="false" outlineLevel="0" collapsed="false">
      <c r="A26" s="12"/>
      <c r="B26" s="11"/>
      <c r="C26" s="11"/>
      <c r="D26" s="28"/>
      <c r="E26" s="12"/>
      <c r="F26" s="13"/>
      <c r="G26" s="34"/>
      <c r="H26" s="20" t="str">
        <f aca="false">IF(A26="","",IF(D26="Yes","Completed",IF(A26&lt;Dashboard!$C$5,"Missed","Scheduled")))</f>
        <v/>
      </c>
      <c r="I26" s="11"/>
    </row>
    <row r="27" customFormat="false" ht="15" hidden="false" customHeight="false" outlineLevel="0" collapsed="false">
      <c r="A27" s="12"/>
      <c r="B27" s="11"/>
      <c r="C27" s="11"/>
      <c r="D27" s="28"/>
      <c r="E27" s="12"/>
      <c r="F27" s="13"/>
      <c r="G27" s="34"/>
      <c r="H27" s="20" t="str">
        <f aca="false">IF(A27="","",IF(D27="Yes","Completed",IF(A27&lt;Dashboard!$C$5,"Missed","Scheduled")))</f>
        <v/>
      </c>
      <c r="I27" s="11"/>
    </row>
    <row r="28" customFormat="false" ht="15" hidden="false" customHeight="false" outlineLevel="0" collapsed="false">
      <c r="A28" s="12"/>
      <c r="B28" s="11"/>
      <c r="C28" s="11"/>
      <c r="D28" s="28"/>
      <c r="E28" s="12"/>
      <c r="F28" s="13"/>
      <c r="G28" s="34"/>
      <c r="H28" s="20" t="str">
        <f aca="false">IF(A28="","",IF(D28="Yes","Completed",IF(A28&lt;Dashboard!$C$5,"Missed","Scheduled")))</f>
        <v/>
      </c>
      <c r="I28" s="11"/>
    </row>
    <row r="29" customFormat="false" ht="15" hidden="false" customHeight="false" outlineLevel="0" collapsed="false">
      <c r="A29" s="12"/>
      <c r="B29" s="11"/>
      <c r="C29" s="11"/>
      <c r="D29" s="28"/>
      <c r="E29" s="12"/>
      <c r="F29" s="13"/>
      <c r="G29" s="34"/>
      <c r="H29" s="20" t="str">
        <f aca="false">IF(A29="","",IF(D29="Yes","Completed",IF(A29&lt;Dashboard!$C$5,"Missed","Scheduled")))</f>
        <v/>
      </c>
      <c r="I29" s="11"/>
    </row>
    <row r="30" customFormat="false" ht="15" hidden="false" customHeight="false" outlineLevel="0" collapsed="false">
      <c r="A30" s="12"/>
      <c r="B30" s="11"/>
      <c r="C30" s="11"/>
      <c r="D30" s="28"/>
      <c r="E30" s="12"/>
      <c r="F30" s="13"/>
      <c r="G30" s="34"/>
      <c r="H30" s="20" t="str">
        <f aca="false">IF(A30="","",IF(D30="Yes","Completed",IF(A30&lt;Dashboard!$C$5,"Missed","Scheduled")))</f>
        <v/>
      </c>
      <c r="I30" s="11"/>
    </row>
    <row r="31" customFormat="false" ht="15" hidden="false" customHeight="false" outlineLevel="0" collapsed="false">
      <c r="A31" s="12"/>
      <c r="B31" s="11"/>
      <c r="C31" s="11"/>
      <c r="D31" s="28"/>
      <c r="E31" s="12"/>
      <c r="F31" s="13"/>
      <c r="G31" s="34"/>
      <c r="H31" s="20" t="str">
        <f aca="false">IF(A31="","",IF(D31="Yes","Completed",IF(A31&lt;Dashboard!$C$5,"Missed","Scheduled")))</f>
        <v/>
      </c>
      <c r="I31" s="11"/>
    </row>
    <row r="32" customFormat="false" ht="15" hidden="false" customHeight="false" outlineLevel="0" collapsed="false">
      <c r="A32" s="12"/>
      <c r="B32" s="11"/>
      <c r="C32" s="11"/>
      <c r="D32" s="28"/>
      <c r="E32" s="12"/>
      <c r="F32" s="13"/>
      <c r="G32" s="34"/>
      <c r="H32" s="20" t="str">
        <f aca="false">IF(A32="","",IF(D32="Yes","Completed",IF(A32&lt;Dashboard!$C$5,"Missed","Scheduled")))</f>
        <v/>
      </c>
      <c r="I32" s="11"/>
    </row>
    <row r="33" customFormat="false" ht="15" hidden="false" customHeight="false" outlineLevel="0" collapsed="false">
      <c r="A33" s="12"/>
      <c r="B33" s="11"/>
      <c r="C33" s="11"/>
      <c r="D33" s="28"/>
      <c r="E33" s="12"/>
      <c r="F33" s="13"/>
      <c r="G33" s="34"/>
      <c r="H33" s="20" t="str">
        <f aca="false">IF(A33="","",IF(D33="Yes","Completed",IF(A33&lt;Dashboard!$C$5,"Missed","Scheduled")))</f>
        <v/>
      </c>
      <c r="I33" s="11"/>
    </row>
    <row r="34" customFormat="false" ht="15" hidden="false" customHeight="false" outlineLevel="0" collapsed="false">
      <c r="A34" s="12"/>
      <c r="B34" s="11"/>
      <c r="C34" s="11"/>
      <c r="D34" s="28"/>
      <c r="E34" s="12"/>
      <c r="F34" s="13"/>
      <c r="G34" s="34"/>
      <c r="H34" s="20" t="str">
        <f aca="false">IF(A34="","",IF(D34="Yes","Completed",IF(A34&lt;Dashboard!$C$5,"Missed","Scheduled")))</f>
        <v/>
      </c>
      <c r="I34" s="11"/>
    </row>
  </sheetData>
  <conditionalFormatting sqref="H5:H3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"Missed"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5:B34" type="list">
      <formula1>Lists!$M$2:$M$7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34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6"/>
    <col collapsed="false" customWidth="true" hidden="false" outlineLevel="0" max="16" min="16" style="0" width="34"/>
  </cols>
  <sheetData>
    <row r="1" customFormat="false" ht="30" hidden="false" customHeight="true" outlineLevel="0" collapsed="false">
      <c r="A1" s="14" t="s">
        <v>366</v>
      </c>
      <c r="B1" s="14" t="s">
        <v>367</v>
      </c>
      <c r="C1" s="14" t="s">
        <v>368</v>
      </c>
      <c r="D1" s="14" t="s">
        <v>369</v>
      </c>
      <c r="E1" s="14" t="s">
        <v>94</v>
      </c>
      <c r="F1" s="14" t="s">
        <v>163</v>
      </c>
      <c r="G1" s="14" t="s">
        <v>167</v>
      </c>
      <c r="H1" s="14" t="s">
        <v>162</v>
      </c>
      <c r="I1" s="14" t="s">
        <v>171</v>
      </c>
      <c r="J1" s="14" t="s">
        <v>261</v>
      </c>
      <c r="K1" s="14" t="s">
        <v>370</v>
      </c>
      <c r="L1" s="14" t="s">
        <v>209</v>
      </c>
      <c r="M1" s="14" t="s">
        <v>354</v>
      </c>
      <c r="N1" s="14" t="s">
        <v>371</v>
      </c>
      <c r="O1" s="2"/>
      <c r="P1" s="14" t="s">
        <v>372</v>
      </c>
      <c r="Q1" s="14" t="s">
        <v>373</v>
      </c>
    </row>
    <row r="2" customFormat="false" ht="26.85" hidden="false" customHeight="false" outlineLevel="0" collapsed="false">
      <c r="A2" s="6" t="s">
        <v>113</v>
      </c>
      <c r="B2" s="6" t="s">
        <v>113</v>
      </c>
      <c r="C2" s="6" t="s">
        <v>272</v>
      </c>
      <c r="D2" s="6" t="s">
        <v>179</v>
      </c>
      <c r="E2" s="6" t="s">
        <v>96</v>
      </c>
      <c r="F2" s="6" t="s">
        <v>178</v>
      </c>
      <c r="G2" s="6" t="s">
        <v>190</v>
      </c>
      <c r="H2" s="6" t="s">
        <v>177</v>
      </c>
      <c r="I2" s="6" t="s">
        <v>182</v>
      </c>
      <c r="J2" s="6" t="s">
        <v>274</v>
      </c>
      <c r="K2" s="6" t="s">
        <v>350</v>
      </c>
      <c r="L2" s="6" t="s">
        <v>219</v>
      </c>
      <c r="M2" s="6" t="s">
        <v>362</v>
      </c>
      <c r="N2" s="6" t="s">
        <v>314</v>
      </c>
      <c r="O2" s="2"/>
      <c r="P2" s="6" t="s">
        <v>374</v>
      </c>
      <c r="Q2" s="11" t="n">
        <v>14</v>
      </c>
    </row>
    <row r="3" customFormat="false" ht="15" hidden="false" customHeight="false" outlineLevel="0" collapsed="false">
      <c r="A3" s="6" t="s">
        <v>106</v>
      </c>
      <c r="B3" s="6" t="s">
        <v>106</v>
      </c>
      <c r="C3" s="6" t="s">
        <v>278</v>
      </c>
      <c r="D3" s="6" t="s">
        <v>375</v>
      </c>
      <c r="E3" s="6" t="s">
        <v>97</v>
      </c>
      <c r="F3" s="6" t="s">
        <v>187</v>
      </c>
      <c r="G3" s="6" t="s">
        <v>181</v>
      </c>
      <c r="H3" s="6" t="s">
        <v>376</v>
      </c>
      <c r="I3" s="6" t="s">
        <v>377</v>
      </c>
      <c r="J3" s="6" t="s">
        <v>275</v>
      </c>
      <c r="K3" s="6" t="s">
        <v>378</v>
      </c>
      <c r="L3" s="6" t="s">
        <v>225</v>
      </c>
      <c r="M3" s="6" t="s">
        <v>364</v>
      </c>
      <c r="N3" s="6" t="s">
        <v>315</v>
      </c>
      <c r="O3" s="2"/>
      <c r="P3" s="6" t="s">
        <v>379</v>
      </c>
      <c r="Q3" s="11" t="n">
        <v>30</v>
      </c>
    </row>
    <row r="4" customFormat="false" ht="15" hidden="false" customHeight="false" outlineLevel="0" collapsed="false">
      <c r="A4" s="2"/>
      <c r="B4" s="6" t="s">
        <v>191</v>
      </c>
      <c r="C4" s="2"/>
      <c r="D4" s="6" t="s">
        <v>380</v>
      </c>
      <c r="E4" s="6" t="s">
        <v>98</v>
      </c>
      <c r="F4" s="6" t="s">
        <v>198</v>
      </c>
      <c r="G4" s="6" t="s">
        <v>381</v>
      </c>
      <c r="H4" s="6" t="s">
        <v>382</v>
      </c>
      <c r="I4" s="6" t="s">
        <v>383</v>
      </c>
      <c r="J4" s="6" t="s">
        <v>384</v>
      </c>
      <c r="K4" s="6" t="s">
        <v>319</v>
      </c>
      <c r="L4" s="6" t="s">
        <v>385</v>
      </c>
      <c r="M4" s="6" t="s">
        <v>386</v>
      </c>
      <c r="N4" s="6" t="s">
        <v>316</v>
      </c>
      <c r="O4" s="2"/>
      <c r="P4" s="2"/>
      <c r="Q4" s="2"/>
    </row>
    <row r="5" customFormat="false" ht="26.85" hidden="false" customHeight="false" outlineLevel="0" collapsed="false">
      <c r="A5" s="2"/>
      <c r="B5" s="2"/>
      <c r="C5" s="2"/>
      <c r="D5" s="6" t="s">
        <v>387</v>
      </c>
      <c r="E5" s="6" t="s">
        <v>99</v>
      </c>
      <c r="F5" s="2"/>
      <c r="G5" s="6" t="s">
        <v>388</v>
      </c>
      <c r="H5" s="6" t="s">
        <v>389</v>
      </c>
      <c r="I5" s="6" t="s">
        <v>390</v>
      </c>
      <c r="J5" s="6" t="s">
        <v>271</v>
      </c>
      <c r="K5" s="6" t="s">
        <v>341</v>
      </c>
      <c r="L5" s="6" t="s">
        <v>233</v>
      </c>
      <c r="M5" s="6" t="s">
        <v>391</v>
      </c>
      <c r="N5" s="6" t="s">
        <v>317</v>
      </c>
      <c r="O5" s="2"/>
      <c r="P5" s="2"/>
      <c r="Q5" s="2"/>
    </row>
    <row r="6" customFormat="false" ht="15" hidden="false" customHeight="false" outlineLevel="0" collapsed="false">
      <c r="A6" s="2"/>
      <c r="B6" s="2"/>
      <c r="C6" s="2"/>
      <c r="D6" s="6" t="s">
        <v>392</v>
      </c>
      <c r="E6" s="2"/>
      <c r="F6" s="2"/>
      <c r="G6" s="6" t="s">
        <v>393</v>
      </c>
      <c r="H6" s="6" t="s">
        <v>394</v>
      </c>
      <c r="I6" s="6" t="s">
        <v>192</v>
      </c>
      <c r="J6" s="6" t="s">
        <v>282</v>
      </c>
      <c r="K6" s="6" t="s">
        <v>395</v>
      </c>
      <c r="L6" s="6" t="s">
        <v>396</v>
      </c>
      <c r="M6" s="6" t="s">
        <v>365</v>
      </c>
      <c r="N6" s="2"/>
      <c r="O6" s="2"/>
      <c r="P6" s="2"/>
      <c r="Q6" s="2"/>
    </row>
    <row r="7" customFormat="false" ht="15" hidden="false" customHeight="false" outlineLevel="0" collapsed="false">
      <c r="A7" s="2"/>
      <c r="B7" s="2"/>
      <c r="C7" s="2"/>
      <c r="D7" s="6" t="s">
        <v>188</v>
      </c>
      <c r="E7" s="2"/>
      <c r="F7" s="2"/>
      <c r="G7" s="6" t="s">
        <v>397</v>
      </c>
      <c r="H7" s="6" t="s">
        <v>398</v>
      </c>
      <c r="I7" s="6" t="s">
        <v>201</v>
      </c>
      <c r="J7" s="6" t="s">
        <v>277</v>
      </c>
      <c r="K7" s="6" t="s">
        <v>322</v>
      </c>
      <c r="L7" s="6" t="s">
        <v>221</v>
      </c>
      <c r="M7" s="6" t="s">
        <v>399</v>
      </c>
      <c r="N7" s="2"/>
      <c r="O7" s="2"/>
      <c r="P7" s="2"/>
      <c r="Q7" s="2"/>
    </row>
    <row r="8" customFormat="false" ht="15" hidden="false" customHeight="false" outlineLevel="0" collapsed="false">
      <c r="A8" s="2"/>
      <c r="B8" s="2"/>
      <c r="C8" s="2"/>
      <c r="D8" s="6" t="s">
        <v>400</v>
      </c>
      <c r="E8" s="2"/>
      <c r="F8" s="2"/>
      <c r="G8" s="6" t="s">
        <v>401</v>
      </c>
      <c r="H8" s="6" t="s">
        <v>402</v>
      </c>
      <c r="I8" s="2"/>
      <c r="J8" s="6" t="s">
        <v>283</v>
      </c>
      <c r="K8" s="6" t="s">
        <v>403</v>
      </c>
      <c r="L8" s="6" t="s">
        <v>309</v>
      </c>
      <c r="M8" s="2"/>
      <c r="N8" s="2"/>
      <c r="O8" s="2"/>
      <c r="P8" s="2"/>
      <c r="Q8" s="2"/>
    </row>
    <row r="9" customFormat="false" ht="26.85" hidden="false" customHeight="false" outlineLevel="0" collapsed="false">
      <c r="A9" s="2"/>
      <c r="B9" s="2"/>
      <c r="C9" s="2"/>
      <c r="D9" s="6" t="s">
        <v>199</v>
      </c>
      <c r="E9" s="2"/>
      <c r="F9" s="2"/>
      <c r="G9" s="6" t="s">
        <v>404</v>
      </c>
      <c r="H9" s="6" t="s">
        <v>405</v>
      </c>
      <c r="I9" s="2"/>
      <c r="J9" s="6" t="s">
        <v>406</v>
      </c>
      <c r="K9" s="6" t="s">
        <v>344</v>
      </c>
      <c r="L9" s="2"/>
      <c r="M9" s="2"/>
      <c r="N9" s="2"/>
      <c r="O9" s="2"/>
      <c r="P9" s="2"/>
      <c r="Q9" s="2"/>
    </row>
    <row r="10" customFormat="false" ht="26.85" hidden="false" customHeight="false" outlineLevel="0" collapsed="false">
      <c r="A10" s="2"/>
      <c r="B10" s="2"/>
      <c r="C10" s="2"/>
      <c r="D10" s="6" t="s">
        <v>407</v>
      </c>
      <c r="E10" s="2"/>
      <c r="F10" s="2"/>
      <c r="G10" s="6" t="s">
        <v>408</v>
      </c>
      <c r="H10" s="6" t="s">
        <v>409</v>
      </c>
      <c r="I10" s="2"/>
      <c r="J10" s="6" t="s">
        <v>410</v>
      </c>
      <c r="K10" s="6" t="s">
        <v>411</v>
      </c>
      <c r="L10" s="2"/>
      <c r="M10" s="2"/>
      <c r="N10" s="2"/>
      <c r="O10" s="2"/>
      <c r="P10" s="2"/>
      <c r="Q10" s="2"/>
    </row>
    <row r="11" customFormat="false" ht="26.85" hidden="false" customHeight="false" outlineLevel="0" collapsed="false">
      <c r="A11" s="2"/>
      <c r="B11" s="2"/>
      <c r="C11" s="2"/>
      <c r="D11" s="6" t="s">
        <v>412</v>
      </c>
      <c r="E11" s="2"/>
      <c r="F11" s="2"/>
      <c r="G11" s="2"/>
      <c r="H11" s="6" t="s">
        <v>413</v>
      </c>
      <c r="I11" s="2"/>
      <c r="J11" s="2"/>
      <c r="K11" s="6" t="s">
        <v>323</v>
      </c>
      <c r="L11" s="2"/>
      <c r="M11" s="2"/>
      <c r="N11" s="2"/>
      <c r="O11" s="2"/>
      <c r="P11" s="2"/>
      <c r="Q11" s="2"/>
    </row>
    <row r="12" customFormat="false" ht="26.85" hidden="false" customHeight="false" outlineLevel="0" collapsed="false">
      <c r="A12" s="2"/>
      <c r="B12" s="2"/>
      <c r="C12" s="2"/>
      <c r="D12" s="6" t="s">
        <v>414</v>
      </c>
      <c r="E12" s="2"/>
      <c r="F12" s="2"/>
      <c r="G12" s="2"/>
      <c r="H12" s="6" t="s">
        <v>415</v>
      </c>
      <c r="I12" s="2"/>
      <c r="J12" s="2"/>
      <c r="K12" s="2"/>
      <c r="L12" s="2"/>
      <c r="M12" s="2"/>
      <c r="N12" s="2"/>
      <c r="O12" s="2"/>
      <c r="P12" s="2"/>
      <c r="Q12" s="2"/>
    </row>
    <row r="13" customFormat="false" ht="26.85" hidden="false" customHeight="false" outlineLevel="0" collapsed="false">
      <c r="A13" s="2"/>
      <c r="B13" s="2"/>
      <c r="C13" s="2"/>
      <c r="D13" s="6" t="s">
        <v>416</v>
      </c>
      <c r="E13" s="2"/>
      <c r="F13" s="2"/>
      <c r="G13" s="2"/>
      <c r="H13" s="6" t="s">
        <v>417</v>
      </c>
      <c r="I13" s="2"/>
      <c r="J13" s="2"/>
      <c r="K13" s="2"/>
      <c r="L13" s="2"/>
      <c r="M13" s="2"/>
      <c r="N13" s="2"/>
      <c r="O13" s="2"/>
      <c r="P13" s="2"/>
      <c r="Q13" s="2"/>
    </row>
    <row r="14" customFormat="false" ht="26.85" hidden="false" customHeight="false" outlineLevel="0" collapsed="false">
      <c r="A14" s="2"/>
      <c r="B14" s="2"/>
      <c r="C14" s="2"/>
      <c r="D14" s="6" t="s">
        <v>418</v>
      </c>
      <c r="E14" s="2"/>
      <c r="F14" s="2"/>
      <c r="G14" s="2"/>
      <c r="H14" s="6" t="s">
        <v>197</v>
      </c>
      <c r="I14" s="2"/>
      <c r="J14" s="2"/>
      <c r="K14" s="2"/>
      <c r="L14" s="2"/>
      <c r="M14" s="2"/>
      <c r="N14" s="2"/>
      <c r="O14" s="2"/>
      <c r="P14" s="2"/>
      <c r="Q14" s="2"/>
    </row>
    <row r="15" customFormat="false" ht="26.85" hidden="false" customHeight="false" outlineLevel="0" collapsed="false">
      <c r="A15" s="2"/>
      <c r="B15" s="2"/>
      <c r="C15" s="2"/>
      <c r="D15" s="6" t="s">
        <v>419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26.85" hidden="false" customHeight="false" outlineLevel="0" collapsed="false">
      <c r="A16" s="2"/>
      <c r="B16" s="2"/>
      <c r="C16" s="2"/>
      <c r="D16" s="6" t="s">
        <v>420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2026-10-08T15:19:39Z</dcterms:created>
  <dc:creator>openpyxl</dc:creator>
  <dc:description/>
  <dc:language>en-US</dc:language>
  <cp:lastModifiedBy/>
  <dcterms:modified xsi:type="dcterms:W3CDTF">2026-10-08T15:19:46Z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