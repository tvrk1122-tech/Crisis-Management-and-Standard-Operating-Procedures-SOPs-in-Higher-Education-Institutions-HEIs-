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Dashboard" sheetId="2" state="visible" r:id="rId4"/>
    <sheet name="Spill Classifier" sheetId="3" state="visible" r:id="rId5"/>
    <sheet name="Spill Incident Log" sheetId="4" state="visible" r:id="rId6"/>
    <sheet name="Restoration Checklist" sheetId="5" state="visible" r:id="rId7"/>
    <sheet name="Chemical Inventory" sheetId="6" state="visible" r:id="rId8"/>
    <sheet name="Storage Inspection" sheetId="7" state="visible" r:id="rId9"/>
    <sheet name="Spill Kit Contents" sheetId="8" state="visible" r:id="rId10"/>
    <sheet name="Spill Kit Inspections" sheetId="9" state="visible" r:id="rId11"/>
    <sheet name="Training Records" sheetId="10" state="visible" r:id="rId12"/>
    <sheet name="Emergency Drills" sheetId="11" state="visible" r:id="rId13"/>
    <sheet name="Lis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Defaults to today. Overwrite with a fixed date to report as of that date.</t>
        </r>
      </text>
    </comment>
    <comment ref="C6" authorId="0">
      <text>
        <r>
          <rPr>
            <sz val="10"/>
            <rFont val="Arial"/>
            <family val="2"/>
          </rPr>
          <t xml:space="preserve">Number of laboratory users in the reporting period. Used for Spill Incident Rate per 100 users.</t>
        </r>
      </text>
    </comment>
  </commentList>
</comments>
</file>

<file path=xl/sharedStrings.xml><?xml version="1.0" encoding="utf-8"?>
<sst xmlns="http://schemas.openxmlformats.org/spreadsheetml/2006/main" count="533" uniqueCount="373">
  <si>
    <t xml:space="preserve">Chemical Spill Management – Monitoring Workbook</t>
  </si>
  <si>
    <t xml:space="preserve">Companion to the Chemical Spill Management SOP</t>
  </si>
  <si>
    <t xml:space="preserve">How to use</t>
  </si>
  <si>
    <t xml:space="preserve">Yellow cells, blue text</t>
  </si>
  <si>
    <t xml:space="preserve">Input cells – type or pick from the drop-down. Only edit these.</t>
  </si>
  <si>
    <t xml:space="preserve">Grey cells</t>
  </si>
  <si>
    <t xml:space="preserve">Auto-calculated formulas – do not overwrite.</t>
  </si>
  <si>
    <t xml:space="preserve">Green / amber / red</t>
  </si>
  <si>
    <t xml:space="preserve">Status highlighting is applied automatically.</t>
  </si>
  <si>
    <t xml:space="preserve">Sample data</t>
  </si>
  <si>
    <t xml:space="preserve">Registers contain one example row; checklists contain sample answers so the Dashboard shows results. Overwrite or clear before use.</t>
  </si>
  <si>
    <t xml:space="preserve">Report date</t>
  </si>
  <si>
    <t xml:space="preserve">Dashboard C5 defaults to TODAY(). Overwrite with a fixed date to report as of that date.</t>
  </si>
  <si>
    <t xml:space="preserve">Parameters</t>
  </si>
  <si>
    <t xml:space="preserve">Inspection intervals and warning windows are on the Lists sheet (column O).</t>
  </si>
  <si>
    <t xml:space="preserve">Sheets</t>
  </si>
  <si>
    <t xml:space="preserve">Dashboard</t>
  </si>
  <si>
    <t xml:space="preserve">SOP Section 20 KPIs with targets and automatic status, action summary and spills-by-category chart.</t>
  </si>
  <si>
    <t xml:space="preserve">Spill Classifier</t>
  </si>
  <si>
    <t xml:space="preserve">SOP Sections 4 &amp; 8: answer the questions to get the spill category, whether local cleanup is permitted, and the required actions.</t>
  </si>
  <si>
    <t xml:space="preserve">Spill Incident Log</t>
  </si>
  <si>
    <t xml:space="preserve">SOP Section 17 record fields, response time, CAPA tracking and repeat-spill flag (Section 18).</t>
  </si>
  <si>
    <t xml:space="preserve">Restoration Checklist</t>
  </si>
  <si>
    <t xml:space="preserve">SOP Section 16: post-spill decontamination and restoration; area released only when all steps are complete.</t>
  </si>
  <si>
    <t xml:space="preserve">Chemical Inventory</t>
  </si>
  <si>
    <t xml:space="preserve">SOP Sections 6 &amp; 21: inventory with SDS availability and labelling compliance.</t>
  </si>
  <si>
    <t xml:space="preserve">Storage Inspection</t>
  </si>
  <si>
    <t xml:space="preserve">Chemical storage observations for the Storage Compliance KPI.</t>
  </si>
  <si>
    <t xml:space="preserve">Spill Kit Contents</t>
  </si>
  <si>
    <t xml:space="preserve">SOP Section 15: contents check for one spill kit.</t>
  </si>
  <si>
    <t xml:space="preserve">Spill Kit Inspections</t>
  </si>
  <si>
    <t xml:space="preserve">Spill-kit inspection schedule and completion (Section 15 &amp; 20).</t>
  </si>
  <si>
    <t xml:space="preserve">Training Records</t>
  </si>
  <si>
    <t xml:space="preserve">SOP Section 19: personnel requiring training, completion and expiry.</t>
  </si>
  <si>
    <t xml:space="preserve">Emergency Drills</t>
  </si>
  <si>
    <t xml:space="preserve">Drill plan and completion with occupant accountability.</t>
  </si>
  <si>
    <t xml:space="preserve">Lists</t>
  </si>
  <si>
    <t xml:space="preserve">Drop-down sources and adjustable parameters.</t>
  </si>
  <si>
    <t xml:space="preserve">Chemical Spill Management – KPI Dashboard</t>
  </si>
  <si>
    <t xml:space="preserve">SOP Section 20 – Monitoring and KPIs (auto-calculated from the registers)</t>
  </si>
  <si>
    <t xml:space="preserve">Laboratory / department</t>
  </si>
  <si>
    <t xml:space="preserve">Department of Chemistry</t>
  </si>
  <si>
    <t xml:space="preserve">Lab users (population base for incident rate)</t>
  </si>
  <si>
    <t xml:space="preserve">#</t>
  </si>
  <si>
    <t xml:space="preserve">KPI</t>
  </si>
  <si>
    <t xml:space="preserve">Formula / measurement</t>
  </si>
  <si>
    <t xml:space="preserve">Actual</t>
  </si>
  <si>
    <t xml:space="preserve">Target</t>
  </si>
  <si>
    <t xml:space="preserve">Direction</t>
  </si>
  <si>
    <t xml:space="preserve">Status</t>
  </si>
  <si>
    <t xml:space="preserve">Frequency</t>
  </si>
  <si>
    <t xml:space="preserve">Chemical safety training coverage</t>
  </si>
  <si>
    <t xml:space="preserve">Current ÷ personnel requiring training</t>
  </si>
  <si>
    <t xml:space="preserve">Higher is better</t>
  </si>
  <si>
    <t xml:space="preserve">Quarterly/Semester</t>
  </si>
  <si>
    <t xml:space="preserve">Spill-kit inspection compliance</t>
  </si>
  <si>
    <t xml:space="preserve">Completed ÷ planned inspections due to date</t>
  </si>
  <si>
    <t xml:space="preserve">Monthly</t>
  </si>
  <si>
    <t xml:space="preserve">SDS availability</t>
  </si>
  <si>
    <t xml:space="preserve">Chemicals with accessible SDS ÷ requiring SDS</t>
  </si>
  <si>
    <t xml:space="preserve">Periodic</t>
  </si>
  <si>
    <t xml:space="preserve">Chemical labelling compliance</t>
  </si>
  <si>
    <t xml:space="preserve">Correctly labelled ÷ containers inspected</t>
  </si>
  <si>
    <t xml:space="preserve">Monthly/Quarterly</t>
  </si>
  <si>
    <t xml:space="preserve">Chemical storage compliance</t>
  </si>
  <si>
    <t xml:space="preserve">Compliant ÷ total storage observations</t>
  </si>
  <si>
    <t xml:space="preserve">Average spill response time (min)</t>
  </si>
  <si>
    <t xml:space="preserve">Identification → notification / initial response</t>
  </si>
  <si>
    <t xml:space="preserve">Lower is better</t>
  </si>
  <si>
    <t xml:space="preserve">Per incident</t>
  </si>
  <si>
    <t xml:space="preserve">Spill incident rate (per 100 users)</t>
  </si>
  <si>
    <t xml:space="preserve">Spills ÷ lab users × 100</t>
  </si>
  <si>
    <t xml:space="preserve">CAPA closure rate</t>
  </si>
  <si>
    <t xml:space="preserve">CAPAs closed ÷ CAPAs due</t>
  </si>
  <si>
    <t xml:space="preserve">Repeat spill rate</t>
  </si>
  <si>
    <t xml:space="preserve">Repeat spills ÷ total spills</t>
  </si>
  <si>
    <t xml:space="preserve">Quarterly/Annual</t>
  </si>
  <si>
    <t xml:space="preserve">Emergency drill completion</t>
  </si>
  <si>
    <t xml:space="preserve">Drills completed ÷ drills planned to date</t>
  </si>
  <si>
    <t xml:space="preserve">Annual</t>
  </si>
  <si>
    <t xml:space="preserve">Targets (yellow) are suggested defaults – set them to your institution's approved targets.</t>
  </si>
  <si>
    <t xml:space="preserve">Items needing attention</t>
  </si>
  <si>
    <t xml:space="preserve">Source</t>
  </si>
  <si>
    <t xml:space="preserve">Count</t>
  </si>
  <si>
    <t xml:space="preserve">Open corrective actions</t>
  </si>
  <si>
    <t xml:space="preserve">Overdue corrective actions</t>
  </si>
  <si>
    <t xml:space="preserve">Exposure incidents logged</t>
  </si>
  <si>
    <t xml:space="preserve">Chemicals with SDS missing</t>
  </si>
  <si>
    <t xml:space="preserve">Containers incorrectly labelled</t>
  </si>
  <si>
    <t xml:space="preserve">Storage non-compliances</t>
  </si>
  <si>
    <t xml:space="preserve">Spill-kit inspections missed</t>
  </si>
  <si>
    <t xml:space="preserve">Spill-kit status (contents check)</t>
  </si>
  <si>
    <t xml:space="preserve">Training expired / expiring / not trained</t>
  </si>
  <si>
    <t xml:space="preserve">Spill category</t>
  </si>
  <si>
    <t xml:space="preserve">Minor spill</t>
  </si>
  <si>
    <t xml:space="preserve">Major spill</t>
  </si>
  <si>
    <t xml:space="preserve">High-risk spill</t>
  </si>
  <si>
    <t xml:space="preserve">Unknown spill</t>
  </si>
  <si>
    <t xml:space="preserve">Exposure incident</t>
  </si>
  <si>
    <t xml:space="preserve">Spill Classification &amp; Emergency Assistance Decision</t>
  </si>
  <si>
    <t xml:space="preserve">SOP Sections 4 &amp; 8 – classify on actual hazard, not merely volume</t>
  </si>
  <si>
    <t xml:space="preserve">Assessment question (answer only if safe to assess)</t>
  </si>
  <si>
    <t xml:space="preserve">Answer</t>
  </si>
  <si>
    <t xml:space="preserve">Required action if this condition applies</t>
  </si>
  <si>
    <t xml:space="preserve">Has the chemical been identified safely (label / SDS / known process)?</t>
  </si>
  <si>
    <t xml:space="preserve">Yes</t>
  </si>
  <si>
    <t xml:space="preserve">Has anyone had skin, eye, inhalation or ingestion exposure?</t>
  </si>
  <si>
    <t xml:space="preserve">No</t>
  </si>
  <si>
    <t xml:space="preserve">Is there strong vapour, smoke or unusual odour?</t>
  </si>
  <si>
    <t xml:space="preserve">Is there fire or an immediate ignition risk?</t>
  </si>
  <si>
    <t xml:space="preserve">Is the spill large, uncontrolled or rapidly spreading?</t>
  </si>
  <si>
    <t xml:space="preserve">Is the substance highly toxic, corrosive, reactive, flammable, explosive or oxidizing?</t>
  </si>
  <si>
    <t xml:space="preserve">Is the spill entering a drain or the environment?</t>
  </si>
  <si>
    <t xml:space="preserve">Is a trained responder with correct PPE and a suitable spill kit available?</t>
  </si>
  <si>
    <t xml:space="preserve">Questions unanswered</t>
  </si>
  <si>
    <t xml:space="preserve">Standard response (Section 4)</t>
  </si>
  <si>
    <t xml:space="preserve">Local cleanup by lab personnel permitted?</t>
  </si>
  <si>
    <t xml:space="preserve">Emergency assistance required?</t>
  </si>
  <si>
    <t xml:space="preserve">Precedence: exposure → unknown → high-risk (hazardous substance / fire) → major (vapour / large) → minor. Life safety always comes first; when in doubt, escalate.</t>
  </si>
  <si>
    <t xml:space="preserve">Chemical Spill Incident Log &amp; CAPA Tracker</t>
  </si>
  <si>
    <t xml:space="preserve">SOP Sections 17 &amp; 18 – record, investigate, correct, verify closure</t>
  </si>
  <si>
    <t xml:space="preserve">Ref</t>
  </si>
  <si>
    <t xml:space="preserve">Date</t>
  </si>
  <si>
    <t xml:space="preserve">Time identified</t>
  </si>
  <si>
    <t xml:space="preserve">Time notified / response started</t>
  </si>
  <si>
    <t xml:space="preserve">Response time (min)</t>
  </si>
  <si>
    <t xml:space="preserve">Location</t>
  </si>
  <si>
    <t xml:space="preserve">Chemical</t>
  </si>
  <si>
    <t xml:space="preserve">Concentration</t>
  </si>
  <si>
    <t xml:space="preserve">Quantity (approx.)</t>
  </si>
  <si>
    <t xml:space="preserve">Persons involved</t>
  </si>
  <si>
    <t xml:space="preserve">Exposure</t>
  </si>
  <si>
    <t xml:space="preserve">Immediate action</t>
  </si>
  <si>
    <t xml:space="preserve">PPE used</t>
  </si>
  <si>
    <t xml:space="preserve">Emergency assistance?</t>
  </si>
  <si>
    <t xml:space="preserve">Waste generated</t>
  </si>
  <si>
    <t xml:space="preserve">Cause (immediate / underlying)</t>
  </si>
  <si>
    <t xml:space="preserve">Corrective / preventive action</t>
  </si>
  <si>
    <t xml:space="preserve">Responsible person</t>
  </si>
  <si>
    <t xml:space="preserve">Due date</t>
  </si>
  <si>
    <t xml:space="preserve">Closure date</t>
  </si>
  <si>
    <t xml:space="preserve">Closure verified by</t>
  </si>
  <si>
    <t xml:space="preserve">Repeat spill?</t>
  </si>
  <si>
    <t xml:space="preserve">CAPA status</t>
  </si>
  <si>
    <t xml:space="preserve">Days to close</t>
  </si>
  <si>
    <t xml:space="preserve">Chemistry Lab 2</t>
  </si>
  <si>
    <t xml:space="preserve">Acetone</t>
  </si>
  <si>
    <t xml:space="preserve">99%</t>
  </si>
  <si>
    <t xml:space="preserve">250 mL</t>
  </si>
  <si>
    <t xml:space="preserve">Container breakage</t>
  </si>
  <si>
    <t xml:space="preserve">1 student; technician responded</t>
  </si>
  <si>
    <t xml:space="preserve">None</t>
  </si>
  <si>
    <t xml:space="preserve">Area cordoned, ignition sources removed, absorbed with spill kit</t>
  </si>
  <si>
    <t xml:space="preserve">Nitrile gloves, goggles, lab coat</t>
  </si>
  <si>
    <t xml:space="preserve">Absorbent pads (1 bag)</t>
  </si>
  <si>
    <t xml:space="preserve">Bottle placed near bench edge; no secondary tray</t>
  </si>
  <si>
    <t xml:space="preserve">Provide bench trays; brief students on container placement</t>
  </si>
  <si>
    <t xml:space="preserve">Lab In-Charge</t>
  </si>
  <si>
    <t xml:space="preserve">Safety Officer</t>
  </si>
  <si>
    <t xml:space="preserve">Post-Spill Decontamination &amp; Restoration Checklist</t>
  </si>
  <si>
    <t xml:space="preserve">SOP Section 16 – remove access restrictions only after authorization</t>
  </si>
  <si>
    <t xml:space="preserve">Incident ref</t>
  </si>
  <si>
    <t xml:space="preserve">CS-001</t>
  </si>
  <si>
    <t xml:space="preserve">Incident details</t>
  </si>
  <si>
    <t xml:space="preserve">Restoration step</t>
  </si>
  <si>
    <t xml:space="preserve">Done?</t>
  </si>
  <si>
    <t xml:space="preserve">Completed by / remarks</t>
  </si>
  <si>
    <t xml:space="preserve">Immediate hazard removed or controlled</t>
  </si>
  <si>
    <t xml:space="preserve">Contaminated materials appropriately contained</t>
  </si>
  <si>
    <t xml:space="preserve">Chemical waste disposed through approved institutional process</t>
  </si>
  <si>
    <t xml:space="preserve">Equipment and surfaces decontaminated using approved method</t>
  </si>
  <si>
    <t xml:space="preserve">Affected equipment inspected before return to service</t>
  </si>
  <si>
    <t xml:space="preserve">Used spill-kit materials replaced</t>
  </si>
  <si>
    <t xml:space="preserve">Safety signage and emergency equipment restored</t>
  </si>
  <si>
    <t xml:space="preserve">Restoration documented</t>
  </si>
  <si>
    <t xml:space="preserve">Authorization obtained to remove access restrictions</t>
  </si>
  <si>
    <t xml:space="preserve">Steps completed</t>
  </si>
  <si>
    <t xml:space="preserve">Completion</t>
  </si>
  <si>
    <t xml:space="preserve">Area status</t>
  </si>
  <si>
    <t xml:space="preserve">Chemical Inventory, SDS &amp; Labelling Register</t>
  </si>
  <si>
    <t xml:space="preserve">SOP Sections 6 &amp; 21 – updated inventory, accessible SDS, correct hazard labels</t>
  </si>
  <si>
    <t xml:space="preserve">Item ID</t>
  </si>
  <si>
    <t xml:space="preserve">Chemical name</t>
  </si>
  <si>
    <t xml:space="preserve">CAS no.</t>
  </si>
  <si>
    <t xml:space="preserve">Hazard class</t>
  </si>
  <si>
    <t xml:space="preserve">Physical form</t>
  </si>
  <si>
    <t xml:space="preserve">Location / cabinet</t>
  </si>
  <si>
    <t xml:space="preserve">Quantity</t>
  </si>
  <si>
    <t xml:space="preserve">Unit</t>
  </si>
  <si>
    <t xml:space="preserve">SDS required?</t>
  </si>
  <si>
    <t xml:space="preserve">SDS accessible?</t>
  </si>
  <si>
    <t xml:space="preserve">Container correctly labelled?</t>
  </si>
  <si>
    <t xml:space="preserve">Compatible storage?</t>
  </si>
  <si>
    <t xml:space="preserve">Compliance status</t>
  </si>
  <si>
    <t xml:space="preserve">Remarks</t>
  </si>
  <si>
    <t xml:space="preserve">CH-001</t>
  </si>
  <si>
    <t xml:space="preserve">67-64-1</t>
  </si>
  <si>
    <t xml:space="preserve">Flammable</t>
  </si>
  <si>
    <t xml:space="preserve">Volatile liquid</t>
  </si>
  <si>
    <t xml:space="preserve">Flammables cabinet A</t>
  </si>
  <si>
    <t xml:space="preserve">L</t>
  </si>
  <si>
    <t xml:space="preserve">CH-002</t>
  </si>
  <si>
    <t xml:space="preserve">Hydrochloric acid 35%</t>
  </si>
  <si>
    <t xml:space="preserve">7647-01-0</t>
  </si>
  <si>
    <t xml:space="preserve">Corrosive</t>
  </si>
  <si>
    <t xml:space="preserve">Liquid</t>
  </si>
  <si>
    <t xml:space="preserve">Acid cabinet B</t>
  </si>
  <si>
    <t xml:space="preserve">CH-003</t>
  </si>
  <si>
    <t xml:space="preserve">Sodium hydroxide pellets</t>
  </si>
  <si>
    <t xml:space="preserve">1310-73-2</t>
  </si>
  <si>
    <t xml:space="preserve">Solid</t>
  </si>
  <si>
    <t xml:space="preserve">Base shelf C</t>
  </si>
  <si>
    <t xml:space="preserve">kg</t>
  </si>
  <si>
    <t xml:space="preserve">Label faded – relabel</t>
  </si>
  <si>
    <t xml:space="preserve">CH-004</t>
  </si>
  <si>
    <t xml:space="preserve">Potassium permanganate</t>
  </si>
  <si>
    <t xml:space="preserve">7722-64-7</t>
  </si>
  <si>
    <t xml:space="preserve">Oxidizing</t>
  </si>
  <si>
    <t xml:space="preserve">Oxidizer shelf D</t>
  </si>
  <si>
    <t xml:space="preserve">SDS copy missing in lab file</t>
  </si>
  <si>
    <t xml:space="preserve">Chemical Storage Inspection Log</t>
  </si>
  <si>
    <t xml:space="preserve">Each row is one observation – Storage Compliance = compliant observations ÷ total observations</t>
  </si>
  <si>
    <t xml:space="preserve">Inspection date</t>
  </si>
  <si>
    <t xml:space="preserve">Location / store</t>
  </si>
  <si>
    <t xml:space="preserve">Observation item</t>
  </si>
  <si>
    <t xml:space="preserve">Result</t>
  </si>
  <si>
    <t xml:space="preserve">Finding / remarks</t>
  </si>
  <si>
    <t xml:space="preserve">Action owner</t>
  </si>
  <si>
    <t xml:space="preserve">Target date</t>
  </si>
  <si>
    <t xml:space="preserve">Chemistry Lab 2 store</t>
  </si>
  <si>
    <t xml:space="preserve">Segregation by compatibility</t>
  </si>
  <si>
    <t xml:space="preserve">Compliant</t>
  </si>
  <si>
    <t xml:space="preserve">Flammables in approved cabinet</t>
  </si>
  <si>
    <t xml:space="preserve">Corrosives stored low / in trays</t>
  </si>
  <si>
    <t xml:space="preserve">Secondary containment provided</t>
  </si>
  <si>
    <t xml:space="preserve">Non-compliant</t>
  </si>
  <si>
    <t xml:space="preserve">No secondary trays under acid bottles</t>
  </si>
  <si>
    <t xml:space="preserve">Lab Technician</t>
  </si>
  <si>
    <t xml:space="preserve">Containers sealed and undamaged</t>
  </si>
  <si>
    <t xml:space="preserve">Shelves not overloaded</t>
  </si>
  <si>
    <t xml:space="preserve">Ventilation of store adequate</t>
  </si>
  <si>
    <t xml:space="preserve">No chemicals on floor / walkways</t>
  </si>
  <si>
    <t xml:space="preserve">Quantity within permitted limits</t>
  </si>
  <si>
    <t xml:space="preserve">Hazard signage displayed</t>
  </si>
  <si>
    <t xml:space="preserve">Spill Kit Contents Checklist</t>
  </si>
  <si>
    <t xml:space="preserve">SOP Section 15 – Available → Accessible → Clearly identified → Inspected → Replenished → Reviewed</t>
  </si>
  <si>
    <t xml:space="preserve">Kit ID</t>
  </si>
  <si>
    <t xml:space="preserve">SK-01</t>
  </si>
  <si>
    <t xml:space="preserve">Chemistry Lab 2 – near exit</t>
  </si>
  <si>
    <t xml:space="preserve">Check date</t>
  </si>
  <si>
    <t xml:space="preserve">Checked by</t>
  </si>
  <si>
    <t xml:space="preserve">Kit item</t>
  </si>
  <si>
    <t xml:space="preserve">Present &amp; serviceable?</t>
  </si>
  <si>
    <t xml:space="preserve">Remarks / replenishment</t>
  </si>
  <si>
    <t xml:space="preserve">Appropriate absorbent materials</t>
  </si>
  <si>
    <t xml:space="preserve">Chemical-resistant waste bags / containers</t>
  </si>
  <si>
    <t xml:space="preserve">Disposable tools appropriate to the chemical</t>
  </si>
  <si>
    <t xml:space="preserve">Chemical-resistant gloves</t>
  </si>
  <si>
    <t xml:space="preserve">Goggles / face protection</t>
  </si>
  <si>
    <t xml:space="preserve">Protective clothing</t>
  </si>
  <si>
    <t xml:space="preserve">Warning / barrier tape</t>
  </si>
  <si>
    <t xml:space="preserve">Hazard labels</t>
  </si>
  <si>
    <t xml:space="preserve">Hazard labels used in Sept spill – reorder</t>
  </si>
  <si>
    <t xml:space="preserve">Waste labels</t>
  </si>
  <si>
    <t xml:space="preserve">Compatible containment materials</t>
  </si>
  <si>
    <t xml:space="preserve">Neutralizing materials (only where approved)</t>
  </si>
  <si>
    <t xml:space="preserve">N/A</t>
  </si>
  <si>
    <t xml:space="preserve">Emergency instructions</t>
  </si>
  <si>
    <t xml:space="preserve">SDS access</t>
  </si>
  <si>
    <t xml:space="preserve">Kit clearly identified and signposted</t>
  </si>
  <si>
    <t xml:space="preserve">Kit accessible (not obstructed / locked)</t>
  </si>
  <si>
    <t xml:space="preserve">Items applicable</t>
  </si>
  <si>
    <t xml:space="preserve">Items present</t>
  </si>
  <si>
    <t xml:space="preserve">Kit completeness</t>
  </si>
  <si>
    <t xml:space="preserve">Kit status</t>
  </si>
  <si>
    <t xml:space="preserve">Spill Kit Inspection Schedule &amp; Log</t>
  </si>
  <si>
    <t xml:space="preserve">Spill-Kit Inspection Compliance = inspections completed ÷ inspections planned (Section 20)</t>
  </si>
  <si>
    <t xml:space="preserve">Planned date</t>
  </si>
  <si>
    <t xml:space="preserve">Date inspected</t>
  </si>
  <si>
    <t xml:space="preserve">Contents complete?</t>
  </si>
  <si>
    <t xml:space="preserve">Replenished (if needed)?</t>
  </si>
  <si>
    <t xml:space="preserve">Inspection status</t>
  </si>
  <si>
    <t xml:space="preserve">Next planned</t>
  </si>
  <si>
    <t xml:space="preserve">Inspected by / remarks</t>
  </si>
  <si>
    <t xml:space="preserve">Lab Technician – hazard labels to be reordered</t>
  </si>
  <si>
    <t xml:space="preserve">Chemical Safety Training Records</t>
  </si>
  <si>
    <t xml:space="preserve">SOP Section 19 – only trained and authorized personnel undertake spill cleanup</t>
  </si>
  <si>
    <t xml:space="preserve">Name</t>
  </si>
  <si>
    <t xml:space="preserve">ID / Staff no.</t>
  </si>
  <si>
    <t xml:space="preserve">Role</t>
  </si>
  <si>
    <t xml:space="preserve">Requires training?</t>
  </si>
  <si>
    <t xml:space="preserve">Training module</t>
  </si>
  <si>
    <t xml:space="preserve">Date completed</t>
  </si>
  <si>
    <t xml:space="preserve">Validity (months)</t>
  </si>
  <si>
    <t xml:space="preserve">Expiry date</t>
  </si>
  <si>
    <t xml:space="preserve">Authorized for spill cleanup?</t>
  </si>
  <si>
    <t xml:space="preserve">M. Suresh</t>
  </si>
  <si>
    <t xml:space="preserve">LT-014</t>
  </si>
  <si>
    <t xml:space="preserve">Laboratory Technician</t>
  </si>
  <si>
    <t xml:space="preserve">Spill-kit use</t>
  </si>
  <si>
    <t xml:space="preserve">K. Priya</t>
  </si>
  <si>
    <t xml:space="preserve">22A31A0412</t>
  </si>
  <si>
    <t xml:space="preserve">Student/Researcher</t>
  </si>
  <si>
    <t xml:space="preserve">Chemical hazard identification</t>
  </si>
  <si>
    <t xml:space="preserve">Scheduled for next induction</t>
  </si>
  <si>
    <t xml:space="preserve">Chemical Emergency Drill Register</t>
  </si>
  <si>
    <t xml:space="preserve">Emergency Drill Completion = drills completed ÷ drills planned (Section 20)</t>
  </si>
  <si>
    <t xml:space="preserve">Drill type</t>
  </si>
  <si>
    <t xml:space="preserve">Laboratory / area</t>
  </si>
  <si>
    <t xml:space="preserve">Conducted?</t>
  </si>
  <si>
    <t xml:space="preserve">Date conducted</t>
  </si>
  <si>
    <t xml:space="preserve">Occupants present</t>
  </si>
  <si>
    <t xml:space="preserve">Occupants accounted</t>
  </si>
  <si>
    <t xml:space="preserve">Accountability %</t>
  </si>
  <si>
    <t xml:space="preserve">Response / evacuation time (min)</t>
  </si>
  <si>
    <t xml:space="preserve">Drill status</t>
  </si>
  <si>
    <t xml:space="preserve">Observations / improvements</t>
  </si>
  <si>
    <t xml:space="preserve">Minor spill response</t>
  </si>
  <si>
    <t xml:space="preserve">Spill kit reached in under 1 minute; barrier tape location to be marked</t>
  </si>
  <si>
    <t xml:space="preserve">Major spill evacuation</t>
  </si>
  <si>
    <t xml:space="preserve">Yes / No</t>
  </si>
  <si>
    <t xml:space="preserve">Yes / No / N/A</t>
  </si>
  <si>
    <t xml:space="preserve">Compliance</t>
  </si>
  <si>
    <t xml:space="preserve">Exposure type</t>
  </si>
  <si>
    <t xml:space="preserve">Spill source</t>
  </si>
  <si>
    <t xml:space="preserve">Roles</t>
  </si>
  <si>
    <t xml:space="preserve">Training modules</t>
  </si>
  <si>
    <t xml:space="preserve">Drill types</t>
  </si>
  <si>
    <t xml:space="preserve">Storage check items</t>
  </si>
  <si>
    <t xml:space="preserve">Parameter</t>
  </si>
  <si>
    <t xml:space="preserve">Value</t>
  </si>
  <si>
    <t xml:space="preserve">Head of Institution</t>
  </si>
  <si>
    <t xml:space="preserve">Spill-kit inspection interval (days)</t>
  </si>
  <si>
    <t xml:space="preserve">Skin</t>
  </si>
  <si>
    <t xml:space="preserve">Leaking container</t>
  </si>
  <si>
    <t xml:space="preserve">Head of Department</t>
  </si>
  <si>
    <t xml:space="preserve">Labels and SDS interpretation</t>
  </si>
  <si>
    <t xml:space="preserve">'Due soon' window (days)</t>
  </si>
  <si>
    <t xml:space="preserve">Eye</t>
  </si>
  <si>
    <t xml:space="preserve">Toxic</t>
  </si>
  <si>
    <t xml:space="preserve">Powder</t>
  </si>
  <si>
    <t xml:space="preserve">Equipment / apparatus</t>
  </si>
  <si>
    <t xml:space="preserve">Laboratory In-Charge</t>
  </si>
  <si>
    <t xml:space="preserve">Safe chemical handling</t>
  </si>
  <si>
    <t xml:space="preserve">Exposure response (eyewash/shower)</t>
  </si>
  <si>
    <t xml:space="preserve">Training 'expiring' window (days)</t>
  </si>
  <si>
    <t xml:space="preserve">Inhalation</t>
  </si>
  <si>
    <t xml:space="preserve">Process / experiment</t>
  </si>
  <si>
    <t xml:space="preserve">Faculty/Instructor</t>
  </si>
  <si>
    <t xml:space="preserve">Storage and compatibility</t>
  </si>
  <si>
    <t xml:space="preserve">Fire with chemical involvement</t>
  </si>
  <si>
    <t xml:space="preserve">Default training validity (months)</t>
  </si>
  <si>
    <t xml:space="preserve">Ingestion</t>
  </si>
  <si>
    <t xml:space="preserve">Reactive</t>
  </si>
  <si>
    <t xml:space="preserve">Gas / vapour</t>
  </si>
  <si>
    <t xml:space="preserve">Transport / handling</t>
  </si>
  <si>
    <t xml:space="preserve">PPE selection and use</t>
  </si>
  <si>
    <t xml:space="preserve">Tabletop exercise</t>
  </si>
  <si>
    <t xml:space="preserve">Explosive</t>
  </si>
  <si>
    <t xml:space="preserve">Storage failure</t>
  </si>
  <si>
    <t xml:space="preserve">Safety Officer/Committee</t>
  </si>
  <si>
    <t xml:space="preserve">Spill prevention and classification</t>
  </si>
  <si>
    <t xml:space="preserve">Irritant / harmful</t>
  </si>
  <si>
    <t xml:space="preserve">Waste container</t>
  </si>
  <si>
    <t xml:space="preserve">Emergency notification and evacuation</t>
  </si>
  <si>
    <t xml:space="preserve">Environmental hazard</t>
  </si>
  <si>
    <t xml:space="preserve">Other</t>
  </si>
  <si>
    <t xml:space="preserve">Emergency/Medical Personnel</t>
  </si>
  <si>
    <t xml:space="preserve">Non-hazardous</t>
  </si>
  <si>
    <t xml:space="preserve">Housekeeping/Support Staff</t>
  </si>
  <si>
    <t xml:space="preserve">Chemical exposure response</t>
  </si>
  <si>
    <t xml:space="preserve">Chemical waste handling</t>
  </si>
  <si>
    <t xml:space="preserve">Incident reporting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</si>
</sst>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0"/>
    <numFmt numFmtId="167" formatCode="0.0%"/>
    <numFmt numFmtId="168" formatCode="0.0"/>
    <numFmt numFmtId="169" formatCode="0.00"/>
    <numFmt numFmtId="170" formatCode="hh:mm"/>
    <numFmt numFmtId="171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Spills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Dashboard!C33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Dashboard!$B$34:$B$38</c:f>
              <c:strCache>
                <c:ptCount val="5"/>
                <c:pt idx="0">
                  <c:v>Minor spill</c:v>
                </c:pt>
                <c:pt idx="1">
                  <c:v>Major spill</c:v>
                </c:pt>
                <c:pt idx="2">
                  <c:v>High-risk spill</c:v>
                </c:pt>
                <c:pt idx="3">
                  <c:v>Unknown spill</c:v>
                </c:pt>
                <c:pt idx="4">
                  <c:v>Exposure incident</c:v>
                </c:pt>
              </c:strCache>
            </c:strRef>
          </c:cat>
          <c:val>
            <c:numRef>
              <c:f>Dashboard!$C$34:$C$38</c:f>
              <c:numCache>
                <c:formatCode>0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42711198"/>
        <c:axId val="89740065"/>
      </c:barChart>
      <c:catAx>
        <c:axId val="427111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40065"/>
        <c:crosses val="autoZero"/>
        <c:auto val="1"/>
        <c:lblAlgn val="ctr"/>
        <c:lblOffset val="100"/>
        <c:noMultiLvlLbl val="0"/>
      </c:catAx>
      <c:valAx>
        <c:axId val="897400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71119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28</xdr:row>
      <xdr:rowOff>100080</xdr:rowOff>
    </xdr:from>
    <xdr:to>
      <xdr:col>8</xdr:col>
      <xdr:colOff>606600</xdr:colOff>
      <xdr:row>40</xdr:row>
      <xdr:rowOff>32760</xdr:rowOff>
    </xdr:to>
    <xdr:graphicFrame>
      <xdr:nvGraphicFramePr>
        <xdr:cNvPr id="0" name="Chart 1"/>
        <xdr:cNvGraphicFramePr/>
      </xdr:nvGraphicFramePr>
      <xdr:xfrm>
        <a:off x="5991120" y="6305400"/>
        <a:ext cx="53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2"/>
  </cols>
  <sheetData>
    <row r="1" customFormat="false" ht="19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7" t="s">
        <v>5</v>
      </c>
      <c r="B6" s="6" t="s">
        <v>6</v>
      </c>
    </row>
    <row r="7" customFormat="false" ht="15" hidden="false" customHeight="false" outlineLevel="0" collapsed="false">
      <c r="A7" s="8" t="s">
        <v>7</v>
      </c>
      <c r="B7" s="6" t="s">
        <v>8</v>
      </c>
    </row>
    <row r="8" customFormat="false" ht="26.85" hidden="false" customHeight="fals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5" t="s">
        <v>11</v>
      </c>
      <c r="B9" s="6" t="s">
        <v>12</v>
      </c>
    </row>
    <row r="10" customFormat="false" ht="15" hidden="false" customHeight="false" outlineLevel="0" collapsed="false">
      <c r="A10" s="5" t="s">
        <v>13</v>
      </c>
      <c r="B10" s="6" t="s">
        <v>14</v>
      </c>
    </row>
    <row r="11" customFormat="false" ht="15" hidden="false" customHeight="false" outlineLevel="0" collapsed="false">
      <c r="A11" s="4" t="s">
        <v>15</v>
      </c>
      <c r="B11" s="4"/>
    </row>
    <row r="12" customFormat="false" ht="26.85" hidden="false" customHeight="false" outlineLevel="0" collapsed="false">
      <c r="A12" s="5" t="s">
        <v>16</v>
      </c>
      <c r="B12" s="6" t="s">
        <v>17</v>
      </c>
    </row>
    <row r="13" customFormat="false" ht="26.85" hidden="false" customHeight="false" outlineLevel="0" collapsed="false">
      <c r="A13" s="5" t="s">
        <v>18</v>
      </c>
      <c r="B13" s="6" t="s">
        <v>19</v>
      </c>
    </row>
    <row r="14" customFormat="false" ht="15" hidden="false" customHeight="false" outlineLevel="0" collapsed="false">
      <c r="A14" s="5" t="s">
        <v>20</v>
      </c>
      <c r="B14" s="6" t="s">
        <v>21</v>
      </c>
    </row>
    <row r="15" customFormat="false" ht="26.85" hidden="false" customHeight="false" outlineLevel="0" collapsed="false">
      <c r="A15" s="5" t="s">
        <v>22</v>
      </c>
      <c r="B15" s="6" t="s">
        <v>23</v>
      </c>
    </row>
    <row r="16" customFormat="false" ht="15" hidden="false" customHeight="false" outlineLevel="0" collapsed="false">
      <c r="A16" s="5" t="s">
        <v>24</v>
      </c>
      <c r="B16" s="6" t="s">
        <v>25</v>
      </c>
    </row>
    <row r="17" customFormat="false" ht="15" hidden="false" customHeight="fals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5" t="s">
        <v>28</v>
      </c>
      <c r="B18" s="6" t="s">
        <v>29</v>
      </c>
    </row>
    <row r="19" customFormat="false" ht="15" hidden="false" customHeight="false" outlineLevel="0" collapsed="false">
      <c r="A19" s="5" t="s">
        <v>30</v>
      </c>
      <c r="B19" s="6" t="s">
        <v>31</v>
      </c>
    </row>
    <row r="20" customFormat="false" ht="15" hidden="false" customHeight="false" outlineLevel="0" collapsed="false">
      <c r="A20" s="5" t="s">
        <v>32</v>
      </c>
      <c r="B20" s="6" t="s">
        <v>33</v>
      </c>
    </row>
    <row r="21" customFormat="false" ht="15" hidden="false" customHeight="false" outlineLevel="0" collapsed="false">
      <c r="A21" s="5" t="s">
        <v>34</v>
      </c>
      <c r="B21" s="6" t="s">
        <v>35</v>
      </c>
    </row>
    <row r="22" customFormat="false" ht="15" hidden="false" customHeight="false" outlineLevel="0" collapsed="false">
      <c r="A22" s="5" t="s">
        <v>36</v>
      </c>
      <c r="B22" s="6" t="s">
        <v>37</v>
      </c>
    </row>
  </sheetData>
  <mergeCells count="2">
    <mergeCell ref="A4:B4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9.7" hidden="false" customHeight="false" outlineLevel="0" collapsed="false">
      <c r="A1" s="1" t="s">
        <v>38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39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9" t="s">
        <v>40</v>
      </c>
      <c r="C4" s="10" t="s">
        <v>41</v>
      </c>
      <c r="D4" s="10"/>
      <c r="E4" s="10"/>
      <c r="F4" s="2"/>
      <c r="G4" s="2"/>
      <c r="H4" s="2"/>
    </row>
    <row r="5" customFormat="false" ht="15" hidden="false" customHeight="false" outlineLevel="0" collapsed="false">
      <c r="A5" s="2"/>
      <c r="B5" s="9" t="s">
        <v>11</v>
      </c>
      <c r="C5" s="11" t="n">
        <f aca="true">TODAY()</f>
        <v>46298</v>
      </c>
      <c r="D5" s="2"/>
      <c r="E5" s="2"/>
      <c r="F5" s="2"/>
      <c r="G5" s="2"/>
      <c r="H5" s="2"/>
    </row>
    <row r="6" customFormat="false" ht="26.85" hidden="false" customHeight="false" outlineLevel="0" collapsed="false">
      <c r="A6" s="2"/>
      <c r="B6" s="9" t="s">
        <v>42</v>
      </c>
      <c r="C6" s="12" t="n">
        <v>250</v>
      </c>
      <c r="D6" s="2"/>
      <c r="E6" s="2"/>
      <c r="F6" s="2"/>
      <c r="G6" s="2"/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31.5" hidden="false" customHeight="true" outlineLevel="0" collapsed="false">
      <c r="A8" s="13" t="s">
        <v>43</v>
      </c>
      <c r="B8" s="13" t="s">
        <v>44</v>
      </c>
      <c r="C8" s="13" t="s">
        <v>45</v>
      </c>
      <c r="D8" s="13" t="s">
        <v>46</v>
      </c>
      <c r="E8" s="13" t="s">
        <v>47</v>
      </c>
      <c r="F8" s="13" t="s">
        <v>48</v>
      </c>
      <c r="G8" s="13" t="s">
        <v>49</v>
      </c>
      <c r="H8" s="13" t="s">
        <v>50</v>
      </c>
    </row>
    <row r="9" customFormat="false" ht="26.85" hidden="false" customHeight="false" outlineLevel="0" collapsed="false">
      <c r="A9" s="14" t="n">
        <v>1</v>
      </c>
      <c r="B9" s="15" t="s">
        <v>51</v>
      </c>
      <c r="C9" s="16" t="s">
        <v>52</v>
      </c>
      <c r="D9" s="17" t="n">
        <f aca="false">IFERROR(COUNTIF('Training Records'!I5:I154,"Current")/COUNTIF('Training Records'!D5:D154,"Yes"),"")</f>
        <v>0.5</v>
      </c>
      <c r="E9" s="18" t="n">
        <v>1</v>
      </c>
      <c r="F9" s="14" t="s">
        <v>53</v>
      </c>
      <c r="G9" s="19" t="str">
        <f aca="false">IF(D9="","No data",IF(D9&gt;=E9,"On target",IF(D9&gt;=E9*0.9,"Watch","Action needed")))</f>
        <v>Action needed</v>
      </c>
      <c r="H9" s="20" t="s">
        <v>54</v>
      </c>
    </row>
    <row r="10" customFormat="false" ht="15" hidden="false" customHeight="false" outlineLevel="0" collapsed="false">
      <c r="A10" s="14" t="n">
        <v>2</v>
      </c>
      <c r="B10" s="15" t="s">
        <v>55</v>
      </c>
      <c r="C10" s="16" t="s">
        <v>56</v>
      </c>
      <c r="D10" s="17" t="n">
        <f aca="false">IFERROR(COUNTIF('Spill Kit Inspections'!G5:G124,"Completed")/(COUNTIF('Spill Kit Inspections'!G5:G124,"Completed")+COUNTIF('Spill Kit Inspections'!G5:G124,"Missed")),"")</f>
        <v>1</v>
      </c>
      <c r="E10" s="18" t="n">
        <v>1</v>
      </c>
      <c r="F10" s="14" t="s">
        <v>53</v>
      </c>
      <c r="G10" s="19" t="str">
        <f aca="false">IF(D10="","No data",IF(D10&gt;=E10,"On target",IF(D10&gt;=E10*0.9,"Watch","Action needed")))</f>
        <v>On target</v>
      </c>
      <c r="H10" s="20" t="s">
        <v>57</v>
      </c>
    </row>
    <row r="11" customFormat="false" ht="26.85" hidden="false" customHeight="false" outlineLevel="0" collapsed="false">
      <c r="A11" s="14" t="n">
        <v>3</v>
      </c>
      <c r="B11" s="15" t="s">
        <v>58</v>
      </c>
      <c r="C11" s="16" t="s">
        <v>59</v>
      </c>
      <c r="D11" s="17" t="n">
        <f aca="false">IFERROR(COUNTIFS('Chemical Inventory'!I5:I104,"Yes",'Chemical Inventory'!J5:J104,"Yes")/COUNTIF('Chemical Inventory'!I5:I104,"Yes"),"")</f>
        <v>0.75</v>
      </c>
      <c r="E11" s="18" t="n">
        <v>1</v>
      </c>
      <c r="F11" s="14" t="s">
        <v>53</v>
      </c>
      <c r="G11" s="19" t="str">
        <f aca="false">IF(D11="","No data",IF(D11&gt;=E11,"On target",IF(D11&gt;=E11*0.9,"Watch","Action needed")))</f>
        <v>Action needed</v>
      </c>
      <c r="H11" s="20" t="s">
        <v>60</v>
      </c>
    </row>
    <row r="12" customFormat="false" ht="26.85" hidden="false" customHeight="false" outlineLevel="0" collapsed="false">
      <c r="A12" s="14" t="n">
        <v>4</v>
      </c>
      <c r="B12" s="15" t="s">
        <v>61</v>
      </c>
      <c r="C12" s="16" t="s">
        <v>62</v>
      </c>
      <c r="D12" s="17" t="n">
        <f aca="false">IFERROR(COUNTIF('Chemical Inventory'!K5:K104,"Yes")/(COUNTIF('Chemical Inventory'!K5:K104,"Yes")+COUNTIF('Chemical Inventory'!K5:K104,"No")),"")</f>
        <v>0.75</v>
      </c>
      <c r="E12" s="18" t="n">
        <v>1</v>
      </c>
      <c r="F12" s="14" t="s">
        <v>53</v>
      </c>
      <c r="G12" s="19" t="str">
        <f aca="false">IF(D12="","No data",IF(D12&gt;=E12,"On target",IF(D12&gt;=E12*0.9,"Watch","Action needed")))</f>
        <v>Action needed</v>
      </c>
      <c r="H12" s="20" t="s">
        <v>63</v>
      </c>
    </row>
    <row r="13" customFormat="false" ht="15" hidden="false" customHeight="false" outlineLevel="0" collapsed="false">
      <c r="A13" s="14" t="n">
        <v>5</v>
      </c>
      <c r="B13" s="15" t="s">
        <v>64</v>
      </c>
      <c r="C13" s="16" t="s">
        <v>65</v>
      </c>
      <c r="D13" s="17" t="n">
        <f aca="false">IFERROR(COUNTIF('Storage Inspection'!D5:D154,"Compliant")/(COUNTIF('Storage Inspection'!D5:D154,"Compliant")+COUNTIF('Storage Inspection'!D5:D154,"Non-compliant")),"")</f>
        <v>0.9</v>
      </c>
      <c r="E13" s="18" t="n">
        <v>0.95</v>
      </c>
      <c r="F13" s="14" t="s">
        <v>53</v>
      </c>
      <c r="G13" s="19" t="str">
        <f aca="false">IF(D13="","No data",IF(D13&gt;=E13,"On target",IF(D13&gt;=E13*0.9,"Watch","Action needed")))</f>
        <v>Watch</v>
      </c>
      <c r="H13" s="20" t="s">
        <v>57</v>
      </c>
    </row>
    <row r="14" customFormat="false" ht="15" hidden="false" customHeight="false" outlineLevel="0" collapsed="false">
      <c r="A14" s="14" t="n">
        <v>6</v>
      </c>
      <c r="B14" s="15" t="s">
        <v>66</v>
      </c>
      <c r="C14" s="16" t="s">
        <v>67</v>
      </c>
      <c r="D14" s="21" t="n">
        <f aca="false">IFERROR(AVERAGE('Spill Incident Log'!E5:E54),"")</f>
        <v>3</v>
      </c>
      <c r="E14" s="22" t="n">
        <v>5</v>
      </c>
      <c r="F14" s="14" t="s">
        <v>68</v>
      </c>
      <c r="G14" s="19" t="str">
        <f aca="false">IF(D14="","No data",IF(D14&lt;=E14,"On target","Action needed"))</f>
        <v>On target</v>
      </c>
      <c r="H14" s="20" t="s">
        <v>69</v>
      </c>
    </row>
    <row r="15" customFormat="false" ht="15" hidden="false" customHeight="false" outlineLevel="0" collapsed="false">
      <c r="A15" s="14" t="n">
        <v>7</v>
      </c>
      <c r="B15" s="15" t="s">
        <v>70</v>
      </c>
      <c r="C15" s="16" t="s">
        <v>71</v>
      </c>
      <c r="D15" s="23" t="n">
        <f aca="false">IFERROR(COUNT('Spill Incident Log'!B5:B54)/C6*100,"")</f>
        <v>0.4</v>
      </c>
      <c r="E15" s="24" t="n">
        <v>1</v>
      </c>
      <c r="F15" s="14" t="s">
        <v>68</v>
      </c>
      <c r="G15" s="19" t="str">
        <f aca="false">IF(D15="","No data",IF(D15&lt;=E15,"On target","Action needed"))</f>
        <v>On target</v>
      </c>
      <c r="H15" s="20" t="s">
        <v>60</v>
      </c>
    </row>
    <row r="16" customFormat="false" ht="15" hidden="false" customHeight="false" outlineLevel="0" collapsed="false">
      <c r="A16" s="14" t="n">
        <v>8</v>
      </c>
      <c r="B16" s="15" t="s">
        <v>72</v>
      </c>
      <c r="C16" s="16" t="s">
        <v>73</v>
      </c>
      <c r="D16" s="17" t="n">
        <f aca="false">IFERROR(COUNTIFS('Spill Incident Log'!U5:U54,"&lt;="&amp;C5,'Spill Incident Log'!Y5:Y54,"Closed")/COUNTIFS('Spill Incident Log'!U5:U54,"&lt;="&amp;C5),"")</f>
        <v>1</v>
      </c>
      <c r="E16" s="18" t="n">
        <v>1</v>
      </c>
      <c r="F16" s="14" t="s">
        <v>53</v>
      </c>
      <c r="G16" s="19" t="str">
        <f aca="false">IF(D16="","No data",IF(D16&gt;=E16,"On target",IF(D16&gt;=E16*0.9,"Watch","Action needed")))</f>
        <v>On target</v>
      </c>
      <c r="H16" s="20" t="s">
        <v>63</v>
      </c>
    </row>
    <row r="17" customFormat="false" ht="15" hidden="false" customHeight="false" outlineLevel="0" collapsed="false">
      <c r="A17" s="14" t="n">
        <v>9</v>
      </c>
      <c r="B17" s="15" t="s">
        <v>74</v>
      </c>
      <c r="C17" s="16" t="s">
        <v>75</v>
      </c>
      <c r="D17" s="17" t="n">
        <f aca="false">IFERROR(COUNTIF('Spill Incident Log'!X5:X54,"Yes")/COUNT('Spill Incident Log'!B5:B54),"")</f>
        <v>0</v>
      </c>
      <c r="E17" s="18" t="n">
        <v>0</v>
      </c>
      <c r="F17" s="14" t="s">
        <v>68</v>
      </c>
      <c r="G17" s="19" t="str">
        <f aca="false">IF(D17="","No data",IF(D17&lt;=E17,"On target","Action needed"))</f>
        <v>On target</v>
      </c>
      <c r="H17" s="20" t="s">
        <v>76</v>
      </c>
    </row>
    <row r="18" customFormat="false" ht="15" hidden="false" customHeight="false" outlineLevel="0" collapsed="false">
      <c r="A18" s="14" t="n">
        <v>10</v>
      </c>
      <c r="B18" s="15" t="s">
        <v>77</v>
      </c>
      <c r="C18" s="16" t="s">
        <v>78</v>
      </c>
      <c r="D18" s="17" t="n">
        <f aca="false">IFERROR(COUNTIF('Emergency Drills'!J5:J34,"Completed")/(COUNTIF('Emergency Drills'!J5:J34,"Completed")+COUNTIF('Emergency Drills'!J5:J34,"Missed")),"")</f>
        <v>1</v>
      </c>
      <c r="E18" s="18" t="n">
        <v>1</v>
      </c>
      <c r="F18" s="14" t="s">
        <v>53</v>
      </c>
      <c r="G18" s="19" t="str">
        <f aca="false">IF(D18="","No data",IF(D18&gt;=E18,"On target",IF(D18&gt;=E18*0.9,"Watch","Action needed")))</f>
        <v>On target</v>
      </c>
      <c r="H18" s="20" t="s">
        <v>79</v>
      </c>
    </row>
    <row r="19" customFormat="false" ht="15" hidden="false" customHeight="false" outlineLevel="0" collapsed="false">
      <c r="A19" s="2"/>
      <c r="B19" s="25" t="s">
        <v>80</v>
      </c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false" outlineLevel="0" collapsed="false">
      <c r="A21" s="2"/>
      <c r="B21" s="13" t="s">
        <v>81</v>
      </c>
      <c r="C21" s="13" t="s">
        <v>82</v>
      </c>
      <c r="D21" s="13" t="s">
        <v>83</v>
      </c>
      <c r="E21" s="2"/>
      <c r="F21" s="2"/>
      <c r="G21" s="2"/>
      <c r="H21" s="2"/>
    </row>
    <row r="22" customFormat="false" ht="15" hidden="false" customHeight="false" outlineLevel="0" collapsed="false">
      <c r="A22" s="2"/>
      <c r="B22" s="6" t="s">
        <v>84</v>
      </c>
      <c r="C22" s="16" t="s">
        <v>20</v>
      </c>
      <c r="D22" s="26" t="n">
        <f aca="false">COUNTIF('Spill Incident Log'!Y5:Y54,"Open")+COUNTIF('Spill Incident Log'!Y5:Y54,"CAPA not set")</f>
        <v>0</v>
      </c>
      <c r="E22" s="2"/>
      <c r="F22" s="2"/>
      <c r="G22" s="2"/>
      <c r="H22" s="2"/>
    </row>
    <row r="23" customFormat="false" ht="15" hidden="false" customHeight="false" outlineLevel="0" collapsed="false">
      <c r="A23" s="2"/>
      <c r="B23" s="6" t="s">
        <v>85</v>
      </c>
      <c r="C23" s="16" t="s">
        <v>20</v>
      </c>
      <c r="D23" s="26" t="n">
        <f aca="false">COUNTIF('Spill Incident Log'!Y5:Y54,"Overdue")</f>
        <v>0</v>
      </c>
      <c r="E23" s="2"/>
      <c r="F23" s="2"/>
      <c r="G23" s="2"/>
      <c r="H23" s="2"/>
    </row>
    <row r="24" customFormat="false" ht="15" hidden="false" customHeight="false" outlineLevel="0" collapsed="false">
      <c r="A24" s="2"/>
      <c r="B24" s="6" t="s">
        <v>86</v>
      </c>
      <c r="C24" s="16" t="s">
        <v>20</v>
      </c>
      <c r="D24" s="26" t="n">
        <f aca="false">COUNTIF('Spill Incident Log'!M5:M54,"Skin")+COUNTIF('Spill Incident Log'!M5:M54,"Eye")+COUNTIF('Spill Incident Log'!M5:M54,"Inhalation")+COUNTIF('Spill Incident Log'!M5:M54,"Ingestion")</f>
        <v>0</v>
      </c>
      <c r="E24" s="2"/>
      <c r="F24" s="2"/>
      <c r="G24" s="2"/>
      <c r="H24" s="2"/>
    </row>
    <row r="25" customFormat="false" ht="15" hidden="false" customHeight="false" outlineLevel="0" collapsed="false">
      <c r="A25" s="2"/>
      <c r="B25" s="6" t="s">
        <v>87</v>
      </c>
      <c r="C25" s="16" t="s">
        <v>24</v>
      </c>
      <c r="D25" s="26" t="n">
        <f aca="false">COUNTIFS('Chemical Inventory'!I5:I104,"Yes",'Chemical Inventory'!J5:J104,"No")</f>
        <v>1</v>
      </c>
      <c r="E25" s="2"/>
      <c r="F25" s="2"/>
      <c r="G25" s="2"/>
      <c r="H25" s="2"/>
    </row>
    <row r="26" customFormat="false" ht="15" hidden="false" customHeight="false" outlineLevel="0" collapsed="false">
      <c r="A26" s="2"/>
      <c r="B26" s="6" t="s">
        <v>88</v>
      </c>
      <c r="C26" s="16" t="s">
        <v>24</v>
      </c>
      <c r="D26" s="26" t="n">
        <f aca="false">COUNTIF('Chemical Inventory'!K5:K104,"No")</f>
        <v>1</v>
      </c>
      <c r="E26" s="2"/>
      <c r="F26" s="2"/>
      <c r="G26" s="2"/>
      <c r="H26" s="2"/>
    </row>
    <row r="27" customFormat="false" ht="15" hidden="false" customHeight="false" outlineLevel="0" collapsed="false">
      <c r="A27" s="2"/>
      <c r="B27" s="6" t="s">
        <v>89</v>
      </c>
      <c r="C27" s="16" t="s">
        <v>26</v>
      </c>
      <c r="D27" s="26" t="n">
        <f aca="false">COUNTIF('Storage Inspection'!D5:D154,"Non-compliant")</f>
        <v>1</v>
      </c>
      <c r="E27" s="2"/>
      <c r="F27" s="2"/>
      <c r="G27" s="2"/>
      <c r="H27" s="2"/>
    </row>
    <row r="28" customFormat="false" ht="15" hidden="false" customHeight="false" outlineLevel="0" collapsed="false">
      <c r="A28" s="2"/>
      <c r="B28" s="6" t="s">
        <v>90</v>
      </c>
      <c r="C28" s="16" t="s">
        <v>30</v>
      </c>
      <c r="D28" s="26" t="n">
        <f aca="false">COUNTIF('Spill Kit Inspections'!G5:G124,"Missed")</f>
        <v>0</v>
      </c>
      <c r="E28" s="2"/>
      <c r="F28" s="2"/>
      <c r="G28" s="2"/>
      <c r="H28" s="2"/>
    </row>
    <row r="29" customFormat="false" ht="26.85" hidden="false" customHeight="false" outlineLevel="0" collapsed="false">
      <c r="A29" s="2"/>
      <c r="B29" s="6" t="s">
        <v>91</v>
      </c>
      <c r="C29" s="16" t="s">
        <v>28</v>
      </c>
      <c r="D29" s="26" t="str">
        <f aca="false">'Spill Kit Contents'!C29</f>
        <v>REPLENISH</v>
      </c>
      <c r="E29" s="2"/>
      <c r="F29" s="2"/>
      <c r="G29" s="2"/>
      <c r="H29" s="2"/>
    </row>
    <row r="30" customFormat="false" ht="26.85" hidden="false" customHeight="false" outlineLevel="0" collapsed="false">
      <c r="A30" s="2"/>
      <c r="B30" s="6" t="s">
        <v>92</v>
      </c>
      <c r="C30" s="16" t="s">
        <v>32</v>
      </c>
      <c r="D30" s="26" t="n">
        <f aca="false">COUNTIF('Training Records'!I5:I154,"Expired")+COUNTIF('Training Records'!I5:I154,"Expiring")+COUNTIF('Training Records'!I5:I154,"Not trained")</f>
        <v>1</v>
      </c>
      <c r="E30" s="2"/>
      <c r="F30" s="2"/>
      <c r="G30" s="2"/>
      <c r="H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13" t="s">
        <v>93</v>
      </c>
      <c r="C33" s="13" t="s">
        <v>83</v>
      </c>
      <c r="D33" s="2"/>
      <c r="E33" s="2"/>
      <c r="F33" s="2"/>
      <c r="G33" s="2"/>
      <c r="H33" s="2"/>
    </row>
    <row r="34" customFormat="false" ht="15" hidden="false" customHeight="false" outlineLevel="0" collapsed="false">
      <c r="A34" s="2"/>
      <c r="B34" s="6" t="s">
        <v>94</v>
      </c>
      <c r="C34" s="26" t="n">
        <f aca="false">COUNTIF('Spill Incident Log'!K5:K54,B34)</f>
        <v>1</v>
      </c>
      <c r="D34" s="2"/>
      <c r="E34" s="2"/>
      <c r="F34" s="2"/>
      <c r="G34" s="2"/>
      <c r="H34" s="2"/>
    </row>
    <row r="35" customFormat="false" ht="15" hidden="false" customHeight="false" outlineLevel="0" collapsed="false">
      <c r="A35" s="2"/>
      <c r="B35" s="6" t="s">
        <v>95</v>
      </c>
      <c r="C35" s="26" t="n">
        <f aca="false">COUNTIF('Spill Incident Log'!K5:K54,B35)</f>
        <v>0</v>
      </c>
      <c r="D35" s="2"/>
      <c r="E35" s="2"/>
      <c r="F35" s="2"/>
      <c r="G35" s="2"/>
      <c r="H35" s="2"/>
    </row>
    <row r="36" customFormat="false" ht="15" hidden="false" customHeight="false" outlineLevel="0" collapsed="false">
      <c r="A36" s="2"/>
      <c r="B36" s="6" t="s">
        <v>96</v>
      </c>
      <c r="C36" s="26" t="n">
        <f aca="false">COUNTIF('Spill Incident Log'!K5:K54,B36)</f>
        <v>0</v>
      </c>
      <c r="D36" s="2"/>
      <c r="E36" s="2"/>
      <c r="F36" s="2"/>
      <c r="G36" s="2"/>
      <c r="H36" s="2"/>
    </row>
    <row r="37" customFormat="false" ht="15" hidden="false" customHeight="false" outlineLevel="0" collapsed="false">
      <c r="A37" s="2"/>
      <c r="B37" s="6" t="s">
        <v>97</v>
      </c>
      <c r="C37" s="26" t="n">
        <f aca="false">COUNTIF('Spill Incident Log'!K5:K54,B37)</f>
        <v>0</v>
      </c>
      <c r="D37" s="2"/>
      <c r="E37" s="2"/>
      <c r="F37" s="2"/>
      <c r="G37" s="2"/>
      <c r="H37" s="2"/>
    </row>
    <row r="38" customFormat="false" ht="15" hidden="false" customHeight="false" outlineLevel="0" collapsed="false">
      <c r="A38" s="2"/>
      <c r="B38" s="6" t="s">
        <v>98</v>
      </c>
      <c r="C38" s="26" t="n">
        <f aca="false">COUNTIF('Spill Incident Log'!K5:K54,B38)</f>
        <v>0</v>
      </c>
      <c r="D38" s="2"/>
      <c r="E38" s="2"/>
      <c r="F38" s="2"/>
      <c r="G38" s="2"/>
      <c r="H38" s="2"/>
    </row>
  </sheetData>
  <mergeCells count="1">
    <mergeCell ref="C4:E4"/>
  </mergeCells>
  <conditionalFormatting sqref="G9:G18">
    <cfRule type="cellIs" priority="2" operator="equal" aboveAverage="0" equalAverage="0" bottom="0" percent="0" rank="0" text="" dxfId="0">
      <formula>"On target"</formula>
    </cfRule>
    <cfRule type="cellIs" priority="3" operator="equal" aboveAverage="0" equalAverage="0" bottom="0" percent="0" rank="0" text="" dxfId="1">
      <formula>"Watch"</formula>
    </cfRule>
    <cfRule type="cellIs" priority="4" operator="equal" aboveAverage="0" equalAverage="0" bottom="0" percent="0" rank="0" text="" dxfId="1">
      <formula>"No data"</formula>
    </cfRule>
    <cfRule type="cellIs" priority="5" operator="equal" aboveAverage="0" equalAverage="0" bottom="0" percent="0" rank="0" text="" dxfId="2">
      <formula>"Action needed"</formula>
    </cfRule>
  </conditionalFormatting>
  <conditionalFormatting sqref="D22:D30">
    <cfRule type="cellIs" priority="6" operator="greaterThan" aboveAverage="0" equalAverage="0" bottom="0" percent="0" rank="0" text="" dxfId="2">
      <formula>0</formula>
    </cfRule>
    <cfRule type="cellIs" priority="7" operator="equal" aboveAverage="0" equalAverage="0" bottom="0" percent="0" rank="0" text="" dxfId="0">
      <formula>0</formula>
    </cfRule>
    <cfRule type="cellIs" priority="8" operator="equal" aboveAverage="0" equalAverage="0" bottom="0" percent="0" rank="0" text="" dxfId="0">
      <formula>"READY"</formula>
    </cfRule>
    <cfRule type="cellIs" priority="9" operator="equal" aboveAverage="0" equalAverage="0" bottom="0" percent="0" rank="0" text="" dxfId="1">
      <formula>"INCOMPLETE CHECK"</formula>
    </cfRule>
    <cfRule type="cellIs" priority="10" operator="equal" aboveAverage="0" equalAverage="0" bottom="0" percent="0" rank="0" text="" dxfId="2">
      <formula>"REPLENISH"</formula>
    </cfRule>
  </conditionalFormatting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99</v>
      </c>
      <c r="B1" s="2"/>
      <c r="C1" s="2"/>
      <c r="D1" s="2"/>
    </row>
    <row r="2" customFormat="false" ht="15" hidden="false" customHeight="false" outlineLevel="0" collapsed="false">
      <c r="A2" s="3" t="s">
        <v>100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31.5" hidden="false" customHeight="true" outlineLevel="0" collapsed="false">
      <c r="A4" s="13" t="s">
        <v>43</v>
      </c>
      <c r="B4" s="13" t="s">
        <v>101</v>
      </c>
      <c r="C4" s="13" t="s">
        <v>102</v>
      </c>
      <c r="D4" s="13" t="s">
        <v>103</v>
      </c>
    </row>
    <row r="5" customFormat="false" ht="26.85" hidden="false" customHeight="false" outlineLevel="0" collapsed="false">
      <c r="A5" s="14" t="n">
        <v>1</v>
      </c>
      <c r="B5" s="6" t="s">
        <v>104</v>
      </c>
      <c r="C5" s="27" t="s">
        <v>105</v>
      </c>
      <c r="D5" s="28" t="str">
        <f aca="false">IF(C5="","Answer required",IF(C5="No","If 'No': treat as hazardous; do not attempt routine cleanup; isolate and escalate.","—"))</f>
        <v>—</v>
      </c>
    </row>
    <row r="6" customFormat="false" ht="15" hidden="false" customHeight="false" outlineLevel="0" collapsed="false">
      <c r="A6" s="14" t="n">
        <v>2</v>
      </c>
      <c r="B6" s="6" t="s">
        <v>106</v>
      </c>
      <c r="C6" s="27" t="s">
        <v>107</v>
      </c>
      <c r="D6" s="28" t="str">
        <f aca="false">IF(C6="","Answer required",IF(C6="Yes","Initiate exposure response (Section 12) and obtain medical assistance.","—"))</f>
        <v>—</v>
      </c>
    </row>
    <row r="7" customFormat="false" ht="15" hidden="false" customHeight="false" outlineLevel="0" collapsed="false">
      <c r="A7" s="14" t="n">
        <v>3</v>
      </c>
      <c r="B7" s="6" t="s">
        <v>108</v>
      </c>
      <c r="C7" s="27" t="s">
        <v>107</v>
      </c>
      <c r="D7" s="28" t="str">
        <f aca="false">IF(C7="","Answer required",IF(C7="Yes","Evacuate / isolate and escalate.","—"))</f>
        <v>—</v>
      </c>
    </row>
    <row r="8" customFormat="false" ht="15" hidden="false" customHeight="false" outlineLevel="0" collapsed="false">
      <c r="A8" s="14" t="n">
        <v>4</v>
      </c>
      <c r="B8" s="6" t="s">
        <v>109</v>
      </c>
      <c r="C8" s="27" t="s">
        <v>107</v>
      </c>
      <c r="D8" s="28" t="str">
        <f aca="false">IF(C8="","Answer required",IF(C8="Yes","Activate emergency response and evacuate.","—"))</f>
        <v>—</v>
      </c>
    </row>
    <row r="9" customFormat="false" ht="15" hidden="false" customHeight="false" outlineLevel="0" collapsed="false">
      <c r="A9" s="14" t="n">
        <v>5</v>
      </c>
      <c r="B9" s="6" t="s">
        <v>110</v>
      </c>
      <c r="C9" s="27" t="s">
        <v>107</v>
      </c>
      <c r="D9" s="28" t="str">
        <f aca="false">IF(C9="","Answer required",IF(C9="Yes","Evacuate / isolate and obtain emergency assistance.","—"))</f>
        <v>—</v>
      </c>
    </row>
    <row r="10" customFormat="false" ht="26.85" hidden="false" customHeight="false" outlineLevel="0" collapsed="false">
      <c r="A10" s="14" t="n">
        <v>6</v>
      </c>
      <c r="B10" s="6" t="s">
        <v>111</v>
      </c>
      <c r="C10" s="27" t="s">
        <v>107</v>
      </c>
      <c r="D10" s="28" t="str">
        <f aca="false">IF(C10="","Answer required",IF(C10="Yes","Use specialized response arrangements.","—"))</f>
        <v>—</v>
      </c>
    </row>
    <row r="11" customFormat="false" ht="15" hidden="false" customHeight="false" outlineLevel="0" collapsed="false">
      <c r="A11" s="14" t="n">
        <v>7</v>
      </c>
      <c r="B11" s="6" t="s">
        <v>112</v>
      </c>
      <c r="C11" s="27" t="s">
        <v>107</v>
      </c>
      <c r="D11" s="28" t="str">
        <f aca="false">IF(C11="","Answer required",IF(C11="Yes","Prevent further spread only if safe; notify responsible institutional authorities.","—"))</f>
        <v>—</v>
      </c>
    </row>
    <row r="12" customFormat="false" ht="26.85" hidden="false" customHeight="false" outlineLevel="0" collapsed="false">
      <c r="A12" s="14" t="n">
        <v>8</v>
      </c>
      <c r="B12" s="6" t="s">
        <v>113</v>
      </c>
      <c r="C12" s="27" t="s">
        <v>105</v>
      </c>
      <c r="D12" s="28" t="str">
        <f aca="false">IF(C12="","Answer required",IF(C12="No","If 'No': do not attempt cleanup; isolate and escalate.","—"))</f>
        <v>—</v>
      </c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21.75" hidden="false" customHeight="true" outlineLevel="0" collapsed="false">
      <c r="A14" s="2"/>
      <c r="B14" s="9" t="s">
        <v>114</v>
      </c>
      <c r="C14" s="29" t="n">
        <f aca="false">COUNTBLANK(C5:C12)</f>
        <v>0</v>
      </c>
      <c r="D14" s="2"/>
    </row>
    <row r="15" customFormat="false" ht="21.75" hidden="false" customHeight="true" outlineLevel="0" collapsed="false">
      <c r="A15" s="2"/>
      <c r="B15" s="9" t="s">
        <v>93</v>
      </c>
      <c r="C15" s="28" t="str">
        <f aca="false">IF(C14&gt;0,"Complete all questions",IF(C6="Yes","Exposure incident",IF(C5="No","Unknown spill",IF(OR(C8="Yes",C10="Yes"),"High-risk spill",IF(OR(C7="Yes",C9="Yes"),"Major spill","Minor spill")))))</f>
        <v>Minor spill</v>
      </c>
      <c r="D15" s="28"/>
    </row>
    <row r="16" customFormat="false" ht="21.75" hidden="false" customHeight="true" outlineLevel="0" collapsed="false">
      <c r="A16" s="2"/>
      <c r="B16" s="9" t="s">
        <v>115</v>
      </c>
      <c r="C16" s="28" t="str">
        <f aca="false">IF(C14&gt;0,"",IF(C15="Minor spill","Controlled response using appropriate spill kit",IF(C15="Major spill","Isolate area and escalate to trained emergency responders",IF(C15="High-risk spill","Evacuate/isolate and obtain specialized emergency assistance",IF(C15="Unknown spill","Treat as hazardous; do not attempt routine cleanup","Immediate exposure response and medical evaluation")))))</f>
        <v>Controlled response using appropriate spill kit</v>
      </c>
      <c r="D16" s="28"/>
    </row>
    <row r="17" customFormat="false" ht="21.75" hidden="false" customHeight="true" outlineLevel="0" collapsed="false">
      <c r="A17" s="2"/>
      <c r="B17" s="9" t="s">
        <v>116</v>
      </c>
      <c r="C17" s="28" t="str">
        <f aca="false">IF(C14&gt;0,"",IF(AND(C15="Minor spill",C12="Yes"),"YES – follow minor-spill procedure (Section 10)","NO – isolate and escalate"))</f>
        <v>YES – follow minor-spill procedure (Section 10)</v>
      </c>
      <c r="D17" s="28"/>
    </row>
    <row r="18" customFormat="false" ht="21.75" hidden="false" customHeight="true" outlineLevel="0" collapsed="false">
      <c r="A18" s="2"/>
      <c r="B18" s="9" t="s">
        <v>117</v>
      </c>
      <c r="C18" s="28" t="str">
        <f aca="false">IF(C14&gt;0,"",IF(OR(C15&lt;&gt;"Minor spill",C12="No"),"YES – request emergency / specialized assistance","Not required – notify Laboratory In-Charge"))</f>
        <v>Not required – notify Laboratory In-Charge</v>
      </c>
      <c r="D18" s="28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27.75" hidden="false" customHeight="true" outlineLevel="0" collapsed="false">
      <c r="A20" s="2"/>
      <c r="B20" s="30" t="s">
        <v>118</v>
      </c>
      <c r="C20" s="30"/>
      <c r="D20" s="30"/>
    </row>
  </sheetData>
  <mergeCells count="5">
    <mergeCell ref="C15:D15"/>
    <mergeCell ref="C16:D16"/>
    <mergeCell ref="C17:D17"/>
    <mergeCell ref="C18:D18"/>
    <mergeCell ref="B20:D20"/>
  </mergeCells>
  <conditionalFormatting sqref="C5">
    <cfRule type="cellIs" priority="2" operator="equal" aboveAverage="0" equalAverage="0" bottom="0" percent="0" rank="0" text="" dxfId="2">
      <formula>"No"</formula>
    </cfRule>
  </conditionalFormatting>
  <conditionalFormatting sqref="D5">
    <cfRule type="expression" priority="3" aboveAverage="0" equalAverage="0" bottom="0" percent="0" rank="0" text="" dxfId="2">
      <formula>C5="No"</formula>
    </cfRule>
  </conditionalFormatting>
  <conditionalFormatting sqref="C6">
    <cfRule type="cellIs" priority="4" operator="equal" aboveAverage="0" equalAverage="0" bottom="0" percent="0" rank="0" text="" dxfId="2">
      <formula>"Yes"</formula>
    </cfRule>
  </conditionalFormatting>
  <conditionalFormatting sqref="D6">
    <cfRule type="expression" priority="5" aboveAverage="0" equalAverage="0" bottom="0" percent="0" rank="0" text="" dxfId="2">
      <formula>C6="Yes"</formula>
    </cfRule>
  </conditionalFormatting>
  <conditionalFormatting sqref="C7">
    <cfRule type="cellIs" priority="6" operator="equal" aboveAverage="0" equalAverage="0" bottom="0" percent="0" rank="0" text="" dxfId="2">
      <formula>"Yes"</formula>
    </cfRule>
  </conditionalFormatting>
  <conditionalFormatting sqref="D7">
    <cfRule type="expression" priority="7" aboveAverage="0" equalAverage="0" bottom="0" percent="0" rank="0" text="" dxfId="2">
      <formula>C7="Yes"</formula>
    </cfRule>
  </conditionalFormatting>
  <conditionalFormatting sqref="C8">
    <cfRule type="cellIs" priority="8" operator="equal" aboveAverage="0" equalAverage="0" bottom="0" percent="0" rank="0" text="" dxfId="2">
      <formula>"Yes"</formula>
    </cfRule>
  </conditionalFormatting>
  <conditionalFormatting sqref="D8">
    <cfRule type="expression" priority="9" aboveAverage="0" equalAverage="0" bottom="0" percent="0" rank="0" text="" dxfId="2">
      <formula>C8="Yes"</formula>
    </cfRule>
  </conditionalFormatting>
  <conditionalFormatting sqref="C9">
    <cfRule type="cellIs" priority="10" operator="equal" aboveAverage="0" equalAverage="0" bottom="0" percent="0" rank="0" text="" dxfId="2">
      <formula>"Yes"</formula>
    </cfRule>
  </conditionalFormatting>
  <conditionalFormatting sqref="D9">
    <cfRule type="expression" priority="11" aboveAverage="0" equalAverage="0" bottom="0" percent="0" rank="0" text="" dxfId="2">
      <formula>C9="Yes"</formula>
    </cfRule>
  </conditionalFormatting>
  <conditionalFormatting sqref="C10">
    <cfRule type="cellIs" priority="12" operator="equal" aboveAverage="0" equalAverage="0" bottom="0" percent="0" rank="0" text="" dxfId="2">
      <formula>"Yes"</formula>
    </cfRule>
  </conditionalFormatting>
  <conditionalFormatting sqref="D10">
    <cfRule type="expression" priority="13" aboveAverage="0" equalAverage="0" bottom="0" percent="0" rank="0" text="" dxfId="2">
      <formula>C10="Yes"</formula>
    </cfRule>
  </conditionalFormatting>
  <conditionalFormatting sqref="C11">
    <cfRule type="cellIs" priority="14" operator="equal" aboveAverage="0" equalAverage="0" bottom="0" percent="0" rank="0" text="" dxfId="2">
      <formula>"Yes"</formula>
    </cfRule>
  </conditionalFormatting>
  <conditionalFormatting sqref="D11">
    <cfRule type="expression" priority="15" aboveAverage="0" equalAverage="0" bottom="0" percent="0" rank="0" text="" dxfId="2">
      <formula>C11="Yes"</formula>
    </cfRule>
  </conditionalFormatting>
  <conditionalFormatting sqref="C12">
    <cfRule type="cellIs" priority="16" operator="equal" aboveAverage="0" equalAverage="0" bottom="0" percent="0" rank="0" text="" dxfId="2">
      <formula>"No"</formula>
    </cfRule>
  </conditionalFormatting>
  <conditionalFormatting sqref="D12">
    <cfRule type="expression" priority="17" aboveAverage="0" equalAverage="0" bottom="0" percent="0" rank="0" text="" dxfId="2">
      <formula>C12="No"</formula>
    </cfRule>
  </conditionalFormatting>
  <conditionalFormatting sqref="C15">
    <cfRule type="cellIs" priority="18" operator="equal" aboveAverage="0" equalAverage="0" bottom="0" percent="0" rank="0" text="" dxfId="0">
      <formula>"Minor spill"</formula>
    </cfRule>
    <cfRule type="cellIs" priority="19" operator="equal" aboveAverage="0" equalAverage="0" bottom="0" percent="0" rank="0" text="" dxfId="1">
      <formula>"Complete all questions"</formula>
    </cfRule>
    <cfRule type="cellIs" priority="20" operator="equal" aboveAverage="0" equalAverage="0" bottom="0" percent="0" rank="0" text="" dxfId="2">
      <formula>"Major spill"</formula>
    </cfRule>
    <cfRule type="cellIs" priority="21" operator="equal" aboveAverage="0" equalAverage="0" bottom="0" percent="0" rank="0" text="" dxfId="2">
      <formula>"Unknown spill"</formula>
    </cfRule>
    <cfRule type="cellIs" priority="22" operator="equal" aboveAverage="0" equalAverage="0" bottom="0" percent="0" rank="0" text="" dxfId="2">
      <formula>"Exposure incident"</formula>
    </cfRule>
    <cfRule type="cellIs" priority="23" operator="equal" aboveAverage="0" equalAverage="0" bottom="0" percent="0" rank="0" text="" dxfId="3">
      <formula>"High-risk spill"</formula>
    </cfRule>
  </conditionalFormatting>
  <conditionalFormatting sqref="C17">
    <cfRule type="expression" priority="24" aboveAverage="0" equalAverage="0" bottom="0" percent="0" rank="0" text="" dxfId="0">
      <formula>LEFT(C17,3)="YES"</formula>
    </cfRule>
    <cfRule type="expression" priority="25" aboveAverage="0" equalAverage="0" bottom="0" percent="0" rank="0" text="" dxfId="2">
      <formula>LEFT(C17,2)="NO"</formula>
    </cfRule>
  </conditionalFormatting>
  <conditionalFormatting sqref="C18">
    <cfRule type="expression" priority="26" aboveAverage="0" equalAverage="0" bottom="0" percent="0" rank="0" text="" dxfId="2">
      <formula>LEFT(C18,3)="YES"</formula>
    </cfRule>
    <cfRule type="expression" priority="27" aboveAverage="0" equalAverage="0" bottom="0" percent="0" rank="0" text="" dxfId="0">
      <formula>LEFT(C18,3)="Not"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5:C12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8"/>
    <col collapsed="false" customWidth="true" hidden="false" outlineLevel="0" max="9" min="8" style="0" width="11"/>
    <col collapsed="false" customWidth="true" hidden="false" outlineLevel="0" max="10" min="10" style="0" width="17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1"/>
    <col collapsed="false" customWidth="true" hidden="false" outlineLevel="0" max="14" min="14" style="0" width="26"/>
    <col collapsed="false" customWidth="true" hidden="false" outlineLevel="0" max="15" min="15" style="0" width="18"/>
    <col collapsed="false" customWidth="true" hidden="false" outlineLevel="0" max="16" min="16" style="0" width="11"/>
    <col collapsed="false" customWidth="true" hidden="false" outlineLevel="0" max="17" min="17" style="0" width="18"/>
    <col collapsed="false" customWidth="true" hidden="false" outlineLevel="0" max="18" min="18" style="0" width="26"/>
    <col collapsed="false" customWidth="true" hidden="false" outlineLevel="0" max="19" min="19" style="0" width="30"/>
    <col collapsed="false" customWidth="true" hidden="false" outlineLevel="0" max="20" min="20" style="0" width="16"/>
    <col collapsed="false" customWidth="true" hidden="false" outlineLevel="0" max="22" min="21" style="0" width="12"/>
    <col collapsed="false" customWidth="true" hidden="false" outlineLevel="0" max="23" min="23" style="0" width="16"/>
    <col collapsed="false" customWidth="true" hidden="false" outlineLevel="0" max="24" min="24" style="0" width="9"/>
    <col collapsed="false" customWidth="true" hidden="false" outlineLevel="0" max="25" min="25" style="0" width="14"/>
    <col collapsed="false" customWidth="true" hidden="false" outlineLevel="0" max="26" min="26" style="0" width="9"/>
  </cols>
  <sheetData>
    <row r="1" customFormat="false" ht="19.7" hidden="false" customHeight="false" outlineLevel="0" collapsed="false">
      <c r="A1" s="1" t="s">
        <v>119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120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31.5" hidden="false" customHeight="true" outlineLevel="0" collapsed="false">
      <c r="A4" s="13" t="s">
        <v>121</v>
      </c>
      <c r="B4" s="13" t="s">
        <v>122</v>
      </c>
      <c r="C4" s="13" t="s">
        <v>123</v>
      </c>
      <c r="D4" s="13" t="s">
        <v>124</v>
      </c>
      <c r="E4" s="13" t="s">
        <v>125</v>
      </c>
      <c r="F4" s="13" t="s">
        <v>126</v>
      </c>
      <c r="G4" s="13" t="s">
        <v>127</v>
      </c>
      <c r="H4" s="13" t="s">
        <v>128</v>
      </c>
      <c r="I4" s="13" t="s">
        <v>129</v>
      </c>
      <c r="J4" s="13" t="s">
        <v>82</v>
      </c>
      <c r="K4" s="13" t="s">
        <v>93</v>
      </c>
      <c r="L4" s="13" t="s">
        <v>130</v>
      </c>
      <c r="M4" s="13" t="s">
        <v>131</v>
      </c>
      <c r="N4" s="13" t="s">
        <v>132</v>
      </c>
      <c r="O4" s="13" t="s">
        <v>133</v>
      </c>
      <c r="P4" s="13" t="s">
        <v>134</v>
      </c>
      <c r="Q4" s="13" t="s">
        <v>135</v>
      </c>
      <c r="R4" s="13" t="s">
        <v>136</v>
      </c>
      <c r="S4" s="13" t="s">
        <v>137</v>
      </c>
      <c r="T4" s="13" t="s">
        <v>138</v>
      </c>
      <c r="U4" s="13" t="s">
        <v>139</v>
      </c>
      <c r="V4" s="13" t="s">
        <v>140</v>
      </c>
      <c r="W4" s="13" t="s">
        <v>141</v>
      </c>
      <c r="X4" s="13" t="s">
        <v>142</v>
      </c>
      <c r="Y4" s="13" t="s">
        <v>143</v>
      </c>
      <c r="Z4" s="13" t="s">
        <v>144</v>
      </c>
    </row>
    <row r="5" customFormat="false" ht="39.55" hidden="false" customHeight="false" outlineLevel="0" collapsed="false">
      <c r="A5" s="19" t="str">
        <f aca="false">IF(B5="","","CS-"&amp;TEXT(ROW()-4,"000"))</f>
        <v>CS-001</v>
      </c>
      <c r="B5" s="11" t="n">
        <v>46273</v>
      </c>
      <c r="C5" s="31" t="n">
        <v>0.472222222222222</v>
      </c>
      <c r="D5" s="31" t="n">
        <v>0.474305555555556</v>
      </c>
      <c r="E5" s="26" t="n">
        <f aca="false">IF(OR(C5="",D5=""),"",ROUND(MOD(D5-C5,1)*1440,0))</f>
        <v>3</v>
      </c>
      <c r="F5" s="10" t="s">
        <v>145</v>
      </c>
      <c r="G5" s="10" t="s">
        <v>146</v>
      </c>
      <c r="H5" s="27" t="s">
        <v>147</v>
      </c>
      <c r="I5" s="27" t="s">
        <v>148</v>
      </c>
      <c r="J5" s="10" t="s">
        <v>149</v>
      </c>
      <c r="K5" s="27" t="s">
        <v>94</v>
      </c>
      <c r="L5" s="10" t="s">
        <v>150</v>
      </c>
      <c r="M5" s="27" t="s">
        <v>151</v>
      </c>
      <c r="N5" s="10" t="s">
        <v>152</v>
      </c>
      <c r="O5" s="10" t="s">
        <v>153</v>
      </c>
      <c r="P5" s="27" t="s">
        <v>107</v>
      </c>
      <c r="Q5" s="10" t="s">
        <v>154</v>
      </c>
      <c r="R5" s="10" t="s">
        <v>155</v>
      </c>
      <c r="S5" s="2" t="s">
        <v>156</v>
      </c>
      <c r="T5" s="10" t="s">
        <v>157</v>
      </c>
      <c r="U5" s="11" t="n">
        <v>46295</v>
      </c>
      <c r="V5" s="11" t="n">
        <v>46287</v>
      </c>
      <c r="W5" s="10" t="s">
        <v>158</v>
      </c>
      <c r="X5" s="27" t="s">
        <v>107</v>
      </c>
      <c r="Y5" s="19" t="str">
        <f aca="false">IF(B5="","",IF(V5&lt;&gt;"","Closed",IF(S5="","CAPA not set",IF(U5="","Open",IF(U5&lt;Dashboard!$C$5,"Overdue","Open")))))</f>
        <v>Closed</v>
      </c>
      <c r="Z5" s="26" t="n">
        <f aca="false">IF(OR(B5="",V5=""),"",V5-B5)</f>
        <v>14</v>
      </c>
    </row>
    <row r="6" customFormat="false" ht="15" hidden="false" customHeight="false" outlineLevel="0" collapsed="false">
      <c r="A6" s="19" t="str">
        <f aca="false">IF(B6="","","CS-"&amp;TEXT(ROW()-4,"000"))</f>
        <v/>
      </c>
      <c r="B6" s="11"/>
      <c r="C6" s="31"/>
      <c r="D6" s="31"/>
      <c r="E6" s="26" t="str">
        <f aca="false">IF(OR(C6="",D6=""),"",ROUND(MOD(D6-C6,1)*1440,0))</f>
        <v/>
      </c>
      <c r="F6" s="10"/>
      <c r="G6" s="10"/>
      <c r="H6" s="27"/>
      <c r="I6" s="27"/>
      <c r="J6" s="10"/>
      <c r="K6" s="27"/>
      <c r="L6" s="10"/>
      <c r="M6" s="27"/>
      <c r="N6" s="10"/>
      <c r="O6" s="10"/>
      <c r="P6" s="27"/>
      <c r="Q6" s="10"/>
      <c r="R6" s="10"/>
      <c r="S6" s="2"/>
      <c r="T6" s="10"/>
      <c r="U6" s="11"/>
      <c r="V6" s="11"/>
      <c r="W6" s="10"/>
      <c r="X6" s="27"/>
      <c r="Y6" s="19" t="str">
        <f aca="false">IF(B6="","",IF(V6&lt;&gt;"","Closed",IF(S6="","CAPA not set",IF(U6="","Open",IF(U6&lt;Dashboard!$C$5,"Overdue","Open")))))</f>
        <v/>
      </c>
      <c r="Z6" s="26" t="str">
        <f aca="false">IF(OR(B6="",V6=""),"",V6-B6)</f>
        <v/>
      </c>
    </row>
    <row r="7" customFormat="false" ht="15" hidden="false" customHeight="false" outlineLevel="0" collapsed="false">
      <c r="A7" s="19" t="str">
        <f aca="false">IF(B7="","","CS-"&amp;TEXT(ROW()-4,"000"))</f>
        <v/>
      </c>
      <c r="B7" s="11"/>
      <c r="C7" s="31"/>
      <c r="D7" s="31"/>
      <c r="E7" s="26" t="str">
        <f aca="false">IF(OR(C7="",D7=""),"",ROUND(MOD(D7-C7,1)*1440,0))</f>
        <v/>
      </c>
      <c r="F7" s="10"/>
      <c r="G7" s="10"/>
      <c r="H7" s="27"/>
      <c r="I7" s="27"/>
      <c r="J7" s="10"/>
      <c r="K7" s="27"/>
      <c r="L7" s="10"/>
      <c r="M7" s="27"/>
      <c r="N7" s="10"/>
      <c r="O7" s="10"/>
      <c r="P7" s="27"/>
      <c r="Q7" s="10"/>
      <c r="R7" s="10"/>
      <c r="S7" s="2"/>
      <c r="T7" s="10"/>
      <c r="U7" s="11"/>
      <c r="V7" s="11"/>
      <c r="W7" s="10"/>
      <c r="X7" s="27"/>
      <c r="Y7" s="19" t="str">
        <f aca="false">IF(B7="","",IF(V7&lt;&gt;"","Closed",IF(S7="","CAPA not set",IF(U7="","Open",IF(U7&lt;Dashboard!$C$5,"Overdue","Open")))))</f>
        <v/>
      </c>
      <c r="Z7" s="26" t="str">
        <f aca="false">IF(OR(B7="",V7=""),"",V7-B7)</f>
        <v/>
      </c>
    </row>
    <row r="8" customFormat="false" ht="15" hidden="false" customHeight="false" outlineLevel="0" collapsed="false">
      <c r="A8" s="19" t="str">
        <f aca="false">IF(B8="","","CS-"&amp;TEXT(ROW()-4,"000"))</f>
        <v/>
      </c>
      <c r="B8" s="11"/>
      <c r="C8" s="31"/>
      <c r="D8" s="31"/>
      <c r="E8" s="26" t="str">
        <f aca="false">IF(OR(C8="",D8=""),"",ROUND(MOD(D8-C8,1)*1440,0))</f>
        <v/>
      </c>
      <c r="F8" s="10"/>
      <c r="G8" s="10"/>
      <c r="H8" s="27"/>
      <c r="I8" s="27"/>
      <c r="J8" s="10"/>
      <c r="K8" s="27"/>
      <c r="L8" s="10"/>
      <c r="M8" s="27"/>
      <c r="N8" s="10"/>
      <c r="O8" s="10"/>
      <c r="P8" s="27"/>
      <c r="Q8" s="10"/>
      <c r="R8" s="10"/>
      <c r="S8" s="2"/>
      <c r="T8" s="10"/>
      <c r="U8" s="11"/>
      <c r="V8" s="11"/>
      <c r="W8" s="10"/>
      <c r="X8" s="27"/>
      <c r="Y8" s="19" t="str">
        <f aca="false">IF(B8="","",IF(V8&lt;&gt;"","Closed",IF(S8="","CAPA not set",IF(U8="","Open",IF(U8&lt;Dashboard!$C$5,"Overdue","Open")))))</f>
        <v/>
      </c>
      <c r="Z8" s="26" t="str">
        <f aca="false">IF(OR(B8="",V8=""),"",V8-B8)</f>
        <v/>
      </c>
    </row>
    <row r="9" customFormat="false" ht="15" hidden="false" customHeight="false" outlineLevel="0" collapsed="false">
      <c r="A9" s="19" t="str">
        <f aca="false">IF(B9="","","CS-"&amp;TEXT(ROW()-4,"000"))</f>
        <v/>
      </c>
      <c r="B9" s="11"/>
      <c r="C9" s="31"/>
      <c r="D9" s="31"/>
      <c r="E9" s="26" t="str">
        <f aca="false">IF(OR(C9="",D9=""),"",ROUND(MOD(D9-C9,1)*1440,0))</f>
        <v/>
      </c>
      <c r="F9" s="10"/>
      <c r="G9" s="10"/>
      <c r="H9" s="27"/>
      <c r="I9" s="27"/>
      <c r="J9" s="10"/>
      <c r="K9" s="27"/>
      <c r="L9" s="10"/>
      <c r="M9" s="27"/>
      <c r="N9" s="10"/>
      <c r="O9" s="10"/>
      <c r="P9" s="27"/>
      <c r="Q9" s="10"/>
      <c r="R9" s="10"/>
      <c r="S9" s="2"/>
      <c r="T9" s="10"/>
      <c r="U9" s="11"/>
      <c r="V9" s="11"/>
      <c r="W9" s="10"/>
      <c r="X9" s="27"/>
      <c r="Y9" s="19" t="str">
        <f aca="false">IF(B9="","",IF(V9&lt;&gt;"","Closed",IF(S9="","CAPA not set",IF(U9="","Open",IF(U9&lt;Dashboard!$C$5,"Overdue","Open")))))</f>
        <v/>
      </c>
      <c r="Z9" s="26" t="str">
        <f aca="false">IF(OR(B9="",V9=""),"",V9-B9)</f>
        <v/>
      </c>
    </row>
    <row r="10" customFormat="false" ht="15" hidden="false" customHeight="false" outlineLevel="0" collapsed="false">
      <c r="A10" s="19" t="str">
        <f aca="false">IF(B10="","","CS-"&amp;TEXT(ROW()-4,"000"))</f>
        <v/>
      </c>
      <c r="B10" s="11"/>
      <c r="C10" s="31"/>
      <c r="D10" s="31"/>
      <c r="E10" s="26" t="str">
        <f aca="false">IF(OR(C10="",D10=""),"",ROUND(MOD(D10-C10,1)*1440,0))</f>
        <v/>
      </c>
      <c r="F10" s="10"/>
      <c r="G10" s="10"/>
      <c r="H10" s="27"/>
      <c r="I10" s="27"/>
      <c r="J10" s="10"/>
      <c r="K10" s="27"/>
      <c r="L10" s="10"/>
      <c r="M10" s="27"/>
      <c r="N10" s="10"/>
      <c r="O10" s="10"/>
      <c r="P10" s="27"/>
      <c r="Q10" s="10"/>
      <c r="R10" s="10"/>
      <c r="S10" s="2"/>
      <c r="T10" s="10"/>
      <c r="U10" s="11"/>
      <c r="V10" s="11"/>
      <c r="W10" s="10"/>
      <c r="X10" s="27"/>
      <c r="Y10" s="19" t="str">
        <f aca="false">IF(B10="","",IF(V10&lt;&gt;"","Closed",IF(S10="","CAPA not set",IF(U10="","Open",IF(U10&lt;Dashboard!$C$5,"Overdue","Open")))))</f>
        <v/>
      </c>
      <c r="Z10" s="26" t="str">
        <f aca="false">IF(OR(B10="",V10=""),"",V10-B10)</f>
        <v/>
      </c>
    </row>
    <row r="11" customFormat="false" ht="15" hidden="false" customHeight="false" outlineLevel="0" collapsed="false">
      <c r="A11" s="19" t="str">
        <f aca="false">IF(B11="","","CS-"&amp;TEXT(ROW()-4,"000"))</f>
        <v/>
      </c>
      <c r="B11" s="11"/>
      <c r="C11" s="31"/>
      <c r="D11" s="31"/>
      <c r="E11" s="26" t="str">
        <f aca="false">IF(OR(C11="",D11=""),"",ROUND(MOD(D11-C11,1)*1440,0))</f>
        <v/>
      </c>
      <c r="F11" s="10"/>
      <c r="G11" s="10"/>
      <c r="H11" s="27"/>
      <c r="I11" s="27"/>
      <c r="J11" s="10"/>
      <c r="K11" s="27"/>
      <c r="L11" s="10"/>
      <c r="M11" s="27"/>
      <c r="N11" s="10"/>
      <c r="O11" s="10"/>
      <c r="P11" s="27"/>
      <c r="Q11" s="10"/>
      <c r="R11" s="10"/>
      <c r="S11" s="2"/>
      <c r="T11" s="10"/>
      <c r="U11" s="11"/>
      <c r="V11" s="11"/>
      <c r="W11" s="10"/>
      <c r="X11" s="27"/>
      <c r="Y11" s="19" t="str">
        <f aca="false">IF(B11="","",IF(V11&lt;&gt;"","Closed",IF(S11="","CAPA not set",IF(U11="","Open",IF(U11&lt;Dashboard!$C$5,"Overdue","Open")))))</f>
        <v/>
      </c>
      <c r="Z11" s="26" t="str">
        <f aca="false">IF(OR(B11="",V11=""),"",V11-B11)</f>
        <v/>
      </c>
    </row>
    <row r="12" customFormat="false" ht="15" hidden="false" customHeight="false" outlineLevel="0" collapsed="false">
      <c r="A12" s="19" t="str">
        <f aca="false">IF(B12="","","CS-"&amp;TEXT(ROW()-4,"000"))</f>
        <v/>
      </c>
      <c r="B12" s="11"/>
      <c r="C12" s="31"/>
      <c r="D12" s="31"/>
      <c r="E12" s="26" t="str">
        <f aca="false">IF(OR(C12="",D12=""),"",ROUND(MOD(D12-C12,1)*1440,0))</f>
        <v/>
      </c>
      <c r="F12" s="10"/>
      <c r="G12" s="10"/>
      <c r="H12" s="27"/>
      <c r="I12" s="27"/>
      <c r="J12" s="10"/>
      <c r="K12" s="27"/>
      <c r="L12" s="10"/>
      <c r="M12" s="27"/>
      <c r="N12" s="10"/>
      <c r="O12" s="10"/>
      <c r="P12" s="27"/>
      <c r="Q12" s="10"/>
      <c r="R12" s="10"/>
      <c r="S12" s="2"/>
      <c r="T12" s="10"/>
      <c r="U12" s="11"/>
      <c r="V12" s="11"/>
      <c r="W12" s="10"/>
      <c r="X12" s="27"/>
      <c r="Y12" s="19" t="str">
        <f aca="false">IF(B12="","",IF(V12&lt;&gt;"","Closed",IF(S12="","CAPA not set",IF(U12="","Open",IF(U12&lt;Dashboard!$C$5,"Overdue","Open")))))</f>
        <v/>
      </c>
      <c r="Z12" s="26" t="str">
        <f aca="false">IF(OR(B12="",V12=""),"",V12-B12)</f>
        <v/>
      </c>
    </row>
    <row r="13" customFormat="false" ht="15" hidden="false" customHeight="false" outlineLevel="0" collapsed="false">
      <c r="A13" s="19" t="str">
        <f aca="false">IF(B13="","","CS-"&amp;TEXT(ROW()-4,"000"))</f>
        <v/>
      </c>
      <c r="B13" s="11"/>
      <c r="C13" s="31"/>
      <c r="D13" s="31"/>
      <c r="E13" s="26" t="str">
        <f aca="false">IF(OR(C13="",D13=""),"",ROUND(MOD(D13-C13,1)*1440,0))</f>
        <v/>
      </c>
      <c r="F13" s="10"/>
      <c r="G13" s="10"/>
      <c r="H13" s="27"/>
      <c r="I13" s="27"/>
      <c r="J13" s="10"/>
      <c r="K13" s="27"/>
      <c r="L13" s="10"/>
      <c r="M13" s="27"/>
      <c r="N13" s="10"/>
      <c r="O13" s="10"/>
      <c r="P13" s="27"/>
      <c r="Q13" s="10"/>
      <c r="R13" s="10"/>
      <c r="S13" s="2"/>
      <c r="T13" s="10"/>
      <c r="U13" s="11"/>
      <c r="V13" s="11"/>
      <c r="W13" s="10"/>
      <c r="X13" s="27"/>
      <c r="Y13" s="19" t="str">
        <f aca="false">IF(B13="","",IF(V13&lt;&gt;"","Closed",IF(S13="","CAPA not set",IF(U13="","Open",IF(U13&lt;Dashboard!$C$5,"Overdue","Open")))))</f>
        <v/>
      </c>
      <c r="Z13" s="26" t="str">
        <f aca="false">IF(OR(B13="",V13=""),"",V13-B13)</f>
        <v/>
      </c>
    </row>
    <row r="14" customFormat="false" ht="15" hidden="false" customHeight="false" outlineLevel="0" collapsed="false">
      <c r="A14" s="19" t="str">
        <f aca="false">IF(B14="","","CS-"&amp;TEXT(ROW()-4,"000"))</f>
        <v/>
      </c>
      <c r="B14" s="11"/>
      <c r="C14" s="31"/>
      <c r="D14" s="31"/>
      <c r="E14" s="26" t="str">
        <f aca="false">IF(OR(C14="",D14=""),"",ROUND(MOD(D14-C14,1)*1440,0))</f>
        <v/>
      </c>
      <c r="F14" s="10"/>
      <c r="G14" s="10"/>
      <c r="H14" s="27"/>
      <c r="I14" s="27"/>
      <c r="J14" s="10"/>
      <c r="K14" s="27"/>
      <c r="L14" s="10"/>
      <c r="M14" s="27"/>
      <c r="N14" s="10"/>
      <c r="O14" s="10"/>
      <c r="P14" s="27"/>
      <c r="Q14" s="10"/>
      <c r="R14" s="10"/>
      <c r="S14" s="2"/>
      <c r="T14" s="10"/>
      <c r="U14" s="11"/>
      <c r="V14" s="11"/>
      <c r="W14" s="10"/>
      <c r="X14" s="27"/>
      <c r="Y14" s="19" t="str">
        <f aca="false">IF(B14="","",IF(V14&lt;&gt;"","Closed",IF(S14="","CAPA not set",IF(U14="","Open",IF(U14&lt;Dashboard!$C$5,"Overdue","Open")))))</f>
        <v/>
      </c>
      <c r="Z14" s="26" t="str">
        <f aca="false">IF(OR(B14="",V14=""),"",V14-B14)</f>
        <v/>
      </c>
    </row>
    <row r="15" customFormat="false" ht="15" hidden="false" customHeight="false" outlineLevel="0" collapsed="false">
      <c r="A15" s="19" t="str">
        <f aca="false">IF(B15="","","CS-"&amp;TEXT(ROW()-4,"000"))</f>
        <v/>
      </c>
      <c r="B15" s="11"/>
      <c r="C15" s="31"/>
      <c r="D15" s="31"/>
      <c r="E15" s="26" t="str">
        <f aca="false">IF(OR(C15="",D15=""),"",ROUND(MOD(D15-C15,1)*1440,0))</f>
        <v/>
      </c>
      <c r="F15" s="10"/>
      <c r="G15" s="10"/>
      <c r="H15" s="27"/>
      <c r="I15" s="27"/>
      <c r="J15" s="10"/>
      <c r="K15" s="27"/>
      <c r="L15" s="10"/>
      <c r="M15" s="27"/>
      <c r="N15" s="10"/>
      <c r="O15" s="10"/>
      <c r="P15" s="27"/>
      <c r="Q15" s="10"/>
      <c r="R15" s="10"/>
      <c r="S15" s="2"/>
      <c r="T15" s="10"/>
      <c r="U15" s="11"/>
      <c r="V15" s="11"/>
      <c r="W15" s="10"/>
      <c r="X15" s="27"/>
      <c r="Y15" s="19" t="str">
        <f aca="false">IF(B15="","",IF(V15&lt;&gt;"","Closed",IF(S15="","CAPA not set",IF(U15="","Open",IF(U15&lt;Dashboard!$C$5,"Overdue","Open")))))</f>
        <v/>
      </c>
      <c r="Z15" s="26" t="str">
        <f aca="false">IF(OR(B15="",V15=""),"",V15-B15)</f>
        <v/>
      </c>
    </row>
    <row r="16" customFormat="false" ht="15" hidden="false" customHeight="false" outlineLevel="0" collapsed="false">
      <c r="A16" s="19" t="str">
        <f aca="false">IF(B16="","","CS-"&amp;TEXT(ROW()-4,"000"))</f>
        <v/>
      </c>
      <c r="B16" s="11"/>
      <c r="C16" s="31"/>
      <c r="D16" s="31"/>
      <c r="E16" s="26" t="str">
        <f aca="false">IF(OR(C16="",D16=""),"",ROUND(MOD(D16-C16,1)*1440,0))</f>
        <v/>
      </c>
      <c r="F16" s="10"/>
      <c r="G16" s="10"/>
      <c r="H16" s="27"/>
      <c r="I16" s="27"/>
      <c r="J16" s="10"/>
      <c r="K16" s="27"/>
      <c r="L16" s="10"/>
      <c r="M16" s="27"/>
      <c r="N16" s="10"/>
      <c r="O16" s="10"/>
      <c r="P16" s="27"/>
      <c r="Q16" s="10"/>
      <c r="R16" s="10"/>
      <c r="S16" s="2"/>
      <c r="T16" s="10"/>
      <c r="U16" s="11"/>
      <c r="V16" s="11"/>
      <c r="W16" s="10"/>
      <c r="X16" s="27"/>
      <c r="Y16" s="19" t="str">
        <f aca="false">IF(B16="","",IF(V16&lt;&gt;"","Closed",IF(S16="","CAPA not set",IF(U16="","Open",IF(U16&lt;Dashboard!$C$5,"Overdue","Open")))))</f>
        <v/>
      </c>
      <c r="Z16" s="26" t="str">
        <f aca="false">IF(OR(B16="",V16=""),"",V16-B16)</f>
        <v/>
      </c>
    </row>
    <row r="17" customFormat="false" ht="15" hidden="false" customHeight="false" outlineLevel="0" collapsed="false">
      <c r="A17" s="19" t="str">
        <f aca="false">IF(B17="","","CS-"&amp;TEXT(ROW()-4,"000"))</f>
        <v/>
      </c>
      <c r="B17" s="11"/>
      <c r="C17" s="31"/>
      <c r="D17" s="31"/>
      <c r="E17" s="26" t="str">
        <f aca="false">IF(OR(C17="",D17=""),"",ROUND(MOD(D17-C17,1)*1440,0))</f>
        <v/>
      </c>
      <c r="F17" s="10"/>
      <c r="G17" s="10"/>
      <c r="H17" s="27"/>
      <c r="I17" s="27"/>
      <c r="J17" s="10"/>
      <c r="K17" s="27"/>
      <c r="L17" s="10"/>
      <c r="M17" s="27"/>
      <c r="N17" s="10"/>
      <c r="O17" s="10"/>
      <c r="P17" s="27"/>
      <c r="Q17" s="10"/>
      <c r="R17" s="10"/>
      <c r="S17" s="2"/>
      <c r="T17" s="10"/>
      <c r="U17" s="11"/>
      <c r="V17" s="11"/>
      <c r="W17" s="10"/>
      <c r="X17" s="27"/>
      <c r="Y17" s="19" t="str">
        <f aca="false">IF(B17="","",IF(V17&lt;&gt;"","Closed",IF(S17="","CAPA not set",IF(U17="","Open",IF(U17&lt;Dashboard!$C$5,"Overdue","Open")))))</f>
        <v/>
      </c>
      <c r="Z17" s="26" t="str">
        <f aca="false">IF(OR(B17="",V17=""),"",V17-B17)</f>
        <v/>
      </c>
    </row>
    <row r="18" customFormat="false" ht="15" hidden="false" customHeight="false" outlineLevel="0" collapsed="false">
      <c r="A18" s="19" t="str">
        <f aca="false">IF(B18="","","CS-"&amp;TEXT(ROW()-4,"000"))</f>
        <v/>
      </c>
      <c r="B18" s="11"/>
      <c r="C18" s="31"/>
      <c r="D18" s="31"/>
      <c r="E18" s="26" t="str">
        <f aca="false">IF(OR(C18="",D18=""),"",ROUND(MOD(D18-C18,1)*1440,0))</f>
        <v/>
      </c>
      <c r="F18" s="10"/>
      <c r="G18" s="10"/>
      <c r="H18" s="27"/>
      <c r="I18" s="27"/>
      <c r="J18" s="10"/>
      <c r="K18" s="27"/>
      <c r="L18" s="10"/>
      <c r="M18" s="27"/>
      <c r="N18" s="10"/>
      <c r="O18" s="10"/>
      <c r="P18" s="27"/>
      <c r="Q18" s="10"/>
      <c r="R18" s="10"/>
      <c r="S18" s="2"/>
      <c r="T18" s="10"/>
      <c r="U18" s="11"/>
      <c r="V18" s="11"/>
      <c r="W18" s="10"/>
      <c r="X18" s="27"/>
      <c r="Y18" s="19" t="str">
        <f aca="false">IF(B18="","",IF(V18&lt;&gt;"","Closed",IF(S18="","CAPA not set",IF(U18="","Open",IF(U18&lt;Dashboard!$C$5,"Overdue","Open")))))</f>
        <v/>
      </c>
      <c r="Z18" s="26" t="str">
        <f aca="false">IF(OR(B18="",V18=""),"",V18-B18)</f>
        <v/>
      </c>
    </row>
    <row r="19" customFormat="false" ht="15" hidden="false" customHeight="false" outlineLevel="0" collapsed="false">
      <c r="A19" s="19" t="str">
        <f aca="false">IF(B19="","","CS-"&amp;TEXT(ROW()-4,"000"))</f>
        <v/>
      </c>
      <c r="B19" s="11"/>
      <c r="C19" s="31"/>
      <c r="D19" s="31"/>
      <c r="E19" s="26" t="str">
        <f aca="false">IF(OR(C19="",D19=""),"",ROUND(MOD(D19-C19,1)*1440,0))</f>
        <v/>
      </c>
      <c r="F19" s="10"/>
      <c r="G19" s="10"/>
      <c r="H19" s="27"/>
      <c r="I19" s="27"/>
      <c r="J19" s="10"/>
      <c r="K19" s="27"/>
      <c r="L19" s="10"/>
      <c r="M19" s="27"/>
      <c r="N19" s="10"/>
      <c r="O19" s="10"/>
      <c r="P19" s="27"/>
      <c r="Q19" s="10"/>
      <c r="R19" s="10"/>
      <c r="S19" s="2"/>
      <c r="T19" s="10"/>
      <c r="U19" s="11"/>
      <c r="V19" s="11"/>
      <c r="W19" s="10"/>
      <c r="X19" s="27"/>
      <c r="Y19" s="19" t="str">
        <f aca="false">IF(B19="","",IF(V19&lt;&gt;"","Closed",IF(S19="","CAPA not set",IF(U19="","Open",IF(U19&lt;Dashboard!$C$5,"Overdue","Open")))))</f>
        <v/>
      </c>
      <c r="Z19" s="26" t="str">
        <f aca="false">IF(OR(B19="",V19=""),"",V19-B19)</f>
        <v/>
      </c>
    </row>
    <row r="20" customFormat="false" ht="15" hidden="false" customHeight="false" outlineLevel="0" collapsed="false">
      <c r="A20" s="19" t="str">
        <f aca="false">IF(B20="","","CS-"&amp;TEXT(ROW()-4,"000"))</f>
        <v/>
      </c>
      <c r="B20" s="11"/>
      <c r="C20" s="31"/>
      <c r="D20" s="31"/>
      <c r="E20" s="26" t="str">
        <f aca="false">IF(OR(C20="",D20=""),"",ROUND(MOD(D20-C20,1)*1440,0))</f>
        <v/>
      </c>
      <c r="F20" s="10"/>
      <c r="G20" s="10"/>
      <c r="H20" s="27"/>
      <c r="I20" s="27"/>
      <c r="J20" s="10"/>
      <c r="K20" s="27"/>
      <c r="L20" s="10"/>
      <c r="M20" s="27"/>
      <c r="N20" s="10"/>
      <c r="O20" s="10"/>
      <c r="P20" s="27"/>
      <c r="Q20" s="10"/>
      <c r="R20" s="10"/>
      <c r="S20" s="2"/>
      <c r="T20" s="10"/>
      <c r="U20" s="11"/>
      <c r="V20" s="11"/>
      <c r="W20" s="10"/>
      <c r="X20" s="27"/>
      <c r="Y20" s="19" t="str">
        <f aca="false">IF(B20="","",IF(V20&lt;&gt;"","Closed",IF(S20="","CAPA not set",IF(U20="","Open",IF(U20&lt;Dashboard!$C$5,"Overdue","Open")))))</f>
        <v/>
      </c>
      <c r="Z20" s="26" t="str">
        <f aca="false">IF(OR(B20="",V20=""),"",V20-B20)</f>
        <v/>
      </c>
    </row>
    <row r="21" customFormat="false" ht="15" hidden="false" customHeight="false" outlineLevel="0" collapsed="false">
      <c r="A21" s="19" t="str">
        <f aca="false">IF(B21="","","CS-"&amp;TEXT(ROW()-4,"000"))</f>
        <v/>
      </c>
      <c r="B21" s="11"/>
      <c r="C21" s="31"/>
      <c r="D21" s="31"/>
      <c r="E21" s="26" t="str">
        <f aca="false">IF(OR(C21="",D21=""),"",ROUND(MOD(D21-C21,1)*1440,0))</f>
        <v/>
      </c>
      <c r="F21" s="10"/>
      <c r="G21" s="10"/>
      <c r="H21" s="27"/>
      <c r="I21" s="27"/>
      <c r="J21" s="10"/>
      <c r="K21" s="27"/>
      <c r="L21" s="10"/>
      <c r="M21" s="27"/>
      <c r="N21" s="10"/>
      <c r="O21" s="10"/>
      <c r="P21" s="27"/>
      <c r="Q21" s="10"/>
      <c r="R21" s="10"/>
      <c r="S21" s="2"/>
      <c r="T21" s="10"/>
      <c r="U21" s="11"/>
      <c r="V21" s="11"/>
      <c r="W21" s="10"/>
      <c r="X21" s="27"/>
      <c r="Y21" s="19" t="str">
        <f aca="false">IF(B21="","",IF(V21&lt;&gt;"","Closed",IF(S21="","CAPA not set",IF(U21="","Open",IF(U21&lt;Dashboard!$C$5,"Overdue","Open")))))</f>
        <v/>
      </c>
      <c r="Z21" s="26" t="str">
        <f aca="false">IF(OR(B21="",V21=""),"",V21-B21)</f>
        <v/>
      </c>
    </row>
    <row r="22" customFormat="false" ht="15" hidden="false" customHeight="false" outlineLevel="0" collapsed="false">
      <c r="A22" s="19" t="str">
        <f aca="false">IF(B22="","","CS-"&amp;TEXT(ROW()-4,"000"))</f>
        <v/>
      </c>
      <c r="B22" s="11"/>
      <c r="C22" s="31"/>
      <c r="D22" s="31"/>
      <c r="E22" s="26" t="str">
        <f aca="false">IF(OR(C22="",D22=""),"",ROUND(MOD(D22-C22,1)*1440,0))</f>
        <v/>
      </c>
      <c r="F22" s="10"/>
      <c r="G22" s="10"/>
      <c r="H22" s="27"/>
      <c r="I22" s="27"/>
      <c r="J22" s="10"/>
      <c r="K22" s="27"/>
      <c r="L22" s="10"/>
      <c r="M22" s="27"/>
      <c r="N22" s="10"/>
      <c r="O22" s="10"/>
      <c r="P22" s="27"/>
      <c r="Q22" s="10"/>
      <c r="R22" s="10"/>
      <c r="S22" s="2"/>
      <c r="T22" s="10"/>
      <c r="U22" s="11"/>
      <c r="V22" s="11"/>
      <c r="W22" s="10"/>
      <c r="X22" s="27"/>
      <c r="Y22" s="19" t="str">
        <f aca="false">IF(B22="","",IF(V22&lt;&gt;"","Closed",IF(S22="","CAPA not set",IF(U22="","Open",IF(U22&lt;Dashboard!$C$5,"Overdue","Open")))))</f>
        <v/>
      </c>
      <c r="Z22" s="26" t="str">
        <f aca="false">IF(OR(B22="",V22=""),"",V22-B22)</f>
        <v/>
      </c>
    </row>
    <row r="23" customFormat="false" ht="15" hidden="false" customHeight="false" outlineLevel="0" collapsed="false">
      <c r="A23" s="19" t="str">
        <f aca="false">IF(B23="","","CS-"&amp;TEXT(ROW()-4,"000"))</f>
        <v/>
      </c>
      <c r="B23" s="11"/>
      <c r="C23" s="31"/>
      <c r="D23" s="31"/>
      <c r="E23" s="26" t="str">
        <f aca="false">IF(OR(C23="",D23=""),"",ROUND(MOD(D23-C23,1)*1440,0))</f>
        <v/>
      </c>
      <c r="F23" s="10"/>
      <c r="G23" s="10"/>
      <c r="H23" s="27"/>
      <c r="I23" s="27"/>
      <c r="J23" s="10"/>
      <c r="K23" s="27"/>
      <c r="L23" s="10"/>
      <c r="M23" s="27"/>
      <c r="N23" s="10"/>
      <c r="O23" s="10"/>
      <c r="P23" s="27"/>
      <c r="Q23" s="10"/>
      <c r="R23" s="10"/>
      <c r="S23" s="2"/>
      <c r="T23" s="10"/>
      <c r="U23" s="11"/>
      <c r="V23" s="11"/>
      <c r="W23" s="10"/>
      <c r="X23" s="27"/>
      <c r="Y23" s="19" t="str">
        <f aca="false">IF(B23="","",IF(V23&lt;&gt;"","Closed",IF(S23="","CAPA not set",IF(U23="","Open",IF(U23&lt;Dashboard!$C$5,"Overdue","Open")))))</f>
        <v/>
      </c>
      <c r="Z23" s="26" t="str">
        <f aca="false">IF(OR(B23="",V23=""),"",V23-B23)</f>
        <v/>
      </c>
    </row>
    <row r="24" customFormat="false" ht="15" hidden="false" customHeight="false" outlineLevel="0" collapsed="false">
      <c r="A24" s="19" t="str">
        <f aca="false">IF(B24="","","CS-"&amp;TEXT(ROW()-4,"000"))</f>
        <v/>
      </c>
      <c r="B24" s="11"/>
      <c r="C24" s="31"/>
      <c r="D24" s="31"/>
      <c r="E24" s="26" t="str">
        <f aca="false">IF(OR(C24="",D24=""),"",ROUND(MOD(D24-C24,1)*1440,0))</f>
        <v/>
      </c>
      <c r="F24" s="10"/>
      <c r="G24" s="10"/>
      <c r="H24" s="27"/>
      <c r="I24" s="27"/>
      <c r="J24" s="10"/>
      <c r="K24" s="27"/>
      <c r="L24" s="10"/>
      <c r="M24" s="27"/>
      <c r="N24" s="10"/>
      <c r="O24" s="10"/>
      <c r="P24" s="27"/>
      <c r="Q24" s="10"/>
      <c r="R24" s="10"/>
      <c r="S24" s="2"/>
      <c r="T24" s="10"/>
      <c r="U24" s="11"/>
      <c r="V24" s="11"/>
      <c r="W24" s="10"/>
      <c r="X24" s="27"/>
      <c r="Y24" s="19" t="str">
        <f aca="false">IF(B24="","",IF(V24&lt;&gt;"","Closed",IF(S24="","CAPA not set",IF(U24="","Open",IF(U24&lt;Dashboard!$C$5,"Overdue","Open")))))</f>
        <v/>
      </c>
      <c r="Z24" s="26" t="str">
        <f aca="false">IF(OR(B24="",V24=""),"",V24-B24)</f>
        <v/>
      </c>
    </row>
    <row r="25" customFormat="false" ht="15" hidden="false" customHeight="false" outlineLevel="0" collapsed="false">
      <c r="A25" s="19" t="str">
        <f aca="false">IF(B25="","","CS-"&amp;TEXT(ROW()-4,"000"))</f>
        <v/>
      </c>
      <c r="B25" s="11"/>
      <c r="C25" s="31"/>
      <c r="D25" s="31"/>
      <c r="E25" s="26" t="str">
        <f aca="false">IF(OR(C25="",D25=""),"",ROUND(MOD(D25-C25,1)*1440,0))</f>
        <v/>
      </c>
      <c r="F25" s="10"/>
      <c r="G25" s="10"/>
      <c r="H25" s="27"/>
      <c r="I25" s="27"/>
      <c r="J25" s="10"/>
      <c r="K25" s="27"/>
      <c r="L25" s="10"/>
      <c r="M25" s="27"/>
      <c r="N25" s="10"/>
      <c r="O25" s="10"/>
      <c r="P25" s="27"/>
      <c r="Q25" s="10"/>
      <c r="R25" s="10"/>
      <c r="S25" s="2"/>
      <c r="T25" s="10"/>
      <c r="U25" s="11"/>
      <c r="V25" s="11"/>
      <c r="W25" s="10"/>
      <c r="X25" s="27"/>
      <c r="Y25" s="19" t="str">
        <f aca="false">IF(B25="","",IF(V25&lt;&gt;"","Closed",IF(S25="","CAPA not set",IF(U25="","Open",IF(U25&lt;Dashboard!$C$5,"Overdue","Open")))))</f>
        <v/>
      </c>
      <c r="Z25" s="26" t="str">
        <f aca="false">IF(OR(B25="",V25=""),"",V25-B25)</f>
        <v/>
      </c>
    </row>
    <row r="26" customFormat="false" ht="15" hidden="false" customHeight="false" outlineLevel="0" collapsed="false">
      <c r="A26" s="19" t="str">
        <f aca="false">IF(B26="","","CS-"&amp;TEXT(ROW()-4,"000"))</f>
        <v/>
      </c>
      <c r="B26" s="11"/>
      <c r="C26" s="31"/>
      <c r="D26" s="31"/>
      <c r="E26" s="26" t="str">
        <f aca="false">IF(OR(C26="",D26=""),"",ROUND(MOD(D26-C26,1)*1440,0))</f>
        <v/>
      </c>
      <c r="F26" s="10"/>
      <c r="G26" s="10"/>
      <c r="H26" s="27"/>
      <c r="I26" s="27"/>
      <c r="J26" s="10"/>
      <c r="K26" s="27"/>
      <c r="L26" s="10"/>
      <c r="M26" s="27"/>
      <c r="N26" s="10"/>
      <c r="O26" s="10"/>
      <c r="P26" s="27"/>
      <c r="Q26" s="10"/>
      <c r="R26" s="10"/>
      <c r="S26" s="2"/>
      <c r="T26" s="10"/>
      <c r="U26" s="11"/>
      <c r="V26" s="11"/>
      <c r="W26" s="10"/>
      <c r="X26" s="27"/>
      <c r="Y26" s="19" t="str">
        <f aca="false">IF(B26="","",IF(V26&lt;&gt;"","Closed",IF(S26="","CAPA not set",IF(U26="","Open",IF(U26&lt;Dashboard!$C$5,"Overdue","Open")))))</f>
        <v/>
      </c>
      <c r="Z26" s="26" t="str">
        <f aca="false">IF(OR(B26="",V26=""),"",V26-B26)</f>
        <v/>
      </c>
    </row>
    <row r="27" customFormat="false" ht="15" hidden="false" customHeight="false" outlineLevel="0" collapsed="false">
      <c r="A27" s="19" t="str">
        <f aca="false">IF(B27="","","CS-"&amp;TEXT(ROW()-4,"000"))</f>
        <v/>
      </c>
      <c r="B27" s="11"/>
      <c r="C27" s="31"/>
      <c r="D27" s="31"/>
      <c r="E27" s="26" t="str">
        <f aca="false">IF(OR(C27="",D27=""),"",ROUND(MOD(D27-C27,1)*1440,0))</f>
        <v/>
      </c>
      <c r="F27" s="10"/>
      <c r="G27" s="10"/>
      <c r="H27" s="27"/>
      <c r="I27" s="27"/>
      <c r="J27" s="10"/>
      <c r="K27" s="27"/>
      <c r="L27" s="10"/>
      <c r="M27" s="27"/>
      <c r="N27" s="10"/>
      <c r="O27" s="10"/>
      <c r="P27" s="27"/>
      <c r="Q27" s="10"/>
      <c r="R27" s="10"/>
      <c r="S27" s="2"/>
      <c r="T27" s="10"/>
      <c r="U27" s="11"/>
      <c r="V27" s="11"/>
      <c r="W27" s="10"/>
      <c r="X27" s="27"/>
      <c r="Y27" s="19" t="str">
        <f aca="false">IF(B27="","",IF(V27&lt;&gt;"","Closed",IF(S27="","CAPA not set",IF(U27="","Open",IF(U27&lt;Dashboard!$C$5,"Overdue","Open")))))</f>
        <v/>
      </c>
      <c r="Z27" s="26" t="str">
        <f aca="false">IF(OR(B27="",V27=""),"",V27-B27)</f>
        <v/>
      </c>
    </row>
    <row r="28" customFormat="false" ht="15" hidden="false" customHeight="false" outlineLevel="0" collapsed="false">
      <c r="A28" s="19" t="str">
        <f aca="false">IF(B28="","","CS-"&amp;TEXT(ROW()-4,"000"))</f>
        <v/>
      </c>
      <c r="B28" s="11"/>
      <c r="C28" s="31"/>
      <c r="D28" s="31"/>
      <c r="E28" s="26" t="str">
        <f aca="false">IF(OR(C28="",D28=""),"",ROUND(MOD(D28-C28,1)*1440,0))</f>
        <v/>
      </c>
      <c r="F28" s="10"/>
      <c r="G28" s="10"/>
      <c r="H28" s="27"/>
      <c r="I28" s="27"/>
      <c r="J28" s="10"/>
      <c r="K28" s="27"/>
      <c r="L28" s="10"/>
      <c r="M28" s="27"/>
      <c r="N28" s="10"/>
      <c r="O28" s="10"/>
      <c r="P28" s="27"/>
      <c r="Q28" s="10"/>
      <c r="R28" s="10"/>
      <c r="S28" s="2"/>
      <c r="T28" s="10"/>
      <c r="U28" s="11"/>
      <c r="V28" s="11"/>
      <c r="W28" s="10"/>
      <c r="X28" s="27"/>
      <c r="Y28" s="19" t="str">
        <f aca="false">IF(B28="","",IF(V28&lt;&gt;"","Closed",IF(S28="","CAPA not set",IF(U28="","Open",IF(U28&lt;Dashboard!$C$5,"Overdue","Open")))))</f>
        <v/>
      </c>
      <c r="Z28" s="26" t="str">
        <f aca="false">IF(OR(B28="",V28=""),"",V28-B28)</f>
        <v/>
      </c>
    </row>
    <row r="29" customFormat="false" ht="15" hidden="false" customHeight="false" outlineLevel="0" collapsed="false">
      <c r="A29" s="19" t="str">
        <f aca="false">IF(B29="","","CS-"&amp;TEXT(ROW()-4,"000"))</f>
        <v/>
      </c>
      <c r="B29" s="11"/>
      <c r="C29" s="31"/>
      <c r="D29" s="31"/>
      <c r="E29" s="26" t="str">
        <f aca="false">IF(OR(C29="",D29=""),"",ROUND(MOD(D29-C29,1)*1440,0))</f>
        <v/>
      </c>
      <c r="F29" s="10"/>
      <c r="G29" s="10"/>
      <c r="H29" s="27"/>
      <c r="I29" s="27"/>
      <c r="J29" s="10"/>
      <c r="K29" s="27"/>
      <c r="L29" s="10"/>
      <c r="M29" s="27"/>
      <c r="N29" s="10"/>
      <c r="O29" s="10"/>
      <c r="P29" s="27"/>
      <c r="Q29" s="10"/>
      <c r="R29" s="10"/>
      <c r="S29" s="2"/>
      <c r="T29" s="10"/>
      <c r="U29" s="11"/>
      <c r="V29" s="11"/>
      <c r="W29" s="10"/>
      <c r="X29" s="27"/>
      <c r="Y29" s="19" t="str">
        <f aca="false">IF(B29="","",IF(V29&lt;&gt;"","Closed",IF(S29="","CAPA not set",IF(U29="","Open",IF(U29&lt;Dashboard!$C$5,"Overdue","Open")))))</f>
        <v/>
      </c>
      <c r="Z29" s="26" t="str">
        <f aca="false">IF(OR(B29="",V29=""),"",V29-B29)</f>
        <v/>
      </c>
    </row>
    <row r="30" customFormat="false" ht="15" hidden="false" customHeight="false" outlineLevel="0" collapsed="false">
      <c r="A30" s="19" t="str">
        <f aca="false">IF(B30="","","CS-"&amp;TEXT(ROW()-4,"000"))</f>
        <v/>
      </c>
      <c r="B30" s="11"/>
      <c r="C30" s="31"/>
      <c r="D30" s="31"/>
      <c r="E30" s="26" t="str">
        <f aca="false">IF(OR(C30="",D30=""),"",ROUND(MOD(D30-C30,1)*1440,0))</f>
        <v/>
      </c>
      <c r="F30" s="10"/>
      <c r="G30" s="10"/>
      <c r="H30" s="27"/>
      <c r="I30" s="27"/>
      <c r="J30" s="10"/>
      <c r="K30" s="27"/>
      <c r="L30" s="10"/>
      <c r="M30" s="27"/>
      <c r="N30" s="10"/>
      <c r="O30" s="10"/>
      <c r="P30" s="27"/>
      <c r="Q30" s="10"/>
      <c r="R30" s="10"/>
      <c r="S30" s="2"/>
      <c r="T30" s="10"/>
      <c r="U30" s="11"/>
      <c r="V30" s="11"/>
      <c r="W30" s="10"/>
      <c r="X30" s="27"/>
      <c r="Y30" s="19" t="str">
        <f aca="false">IF(B30="","",IF(V30&lt;&gt;"","Closed",IF(S30="","CAPA not set",IF(U30="","Open",IF(U30&lt;Dashboard!$C$5,"Overdue","Open")))))</f>
        <v/>
      </c>
      <c r="Z30" s="26" t="str">
        <f aca="false">IF(OR(B30="",V30=""),"",V30-B30)</f>
        <v/>
      </c>
    </row>
    <row r="31" customFormat="false" ht="15" hidden="false" customHeight="false" outlineLevel="0" collapsed="false">
      <c r="A31" s="19" t="str">
        <f aca="false">IF(B31="","","CS-"&amp;TEXT(ROW()-4,"000"))</f>
        <v/>
      </c>
      <c r="B31" s="11"/>
      <c r="C31" s="31"/>
      <c r="D31" s="31"/>
      <c r="E31" s="26" t="str">
        <f aca="false">IF(OR(C31="",D31=""),"",ROUND(MOD(D31-C31,1)*1440,0))</f>
        <v/>
      </c>
      <c r="F31" s="10"/>
      <c r="G31" s="10"/>
      <c r="H31" s="27"/>
      <c r="I31" s="27"/>
      <c r="J31" s="10"/>
      <c r="K31" s="27"/>
      <c r="L31" s="10"/>
      <c r="M31" s="27"/>
      <c r="N31" s="10"/>
      <c r="O31" s="10"/>
      <c r="P31" s="27"/>
      <c r="Q31" s="10"/>
      <c r="R31" s="10"/>
      <c r="S31" s="2"/>
      <c r="T31" s="10"/>
      <c r="U31" s="11"/>
      <c r="V31" s="11"/>
      <c r="W31" s="10"/>
      <c r="X31" s="27"/>
      <c r="Y31" s="19" t="str">
        <f aca="false">IF(B31="","",IF(V31&lt;&gt;"","Closed",IF(S31="","CAPA not set",IF(U31="","Open",IF(U31&lt;Dashboard!$C$5,"Overdue","Open")))))</f>
        <v/>
      </c>
      <c r="Z31" s="26" t="str">
        <f aca="false">IF(OR(B31="",V31=""),"",V31-B31)</f>
        <v/>
      </c>
    </row>
    <row r="32" customFormat="false" ht="15" hidden="false" customHeight="false" outlineLevel="0" collapsed="false">
      <c r="A32" s="19" t="str">
        <f aca="false">IF(B32="","","CS-"&amp;TEXT(ROW()-4,"000"))</f>
        <v/>
      </c>
      <c r="B32" s="11"/>
      <c r="C32" s="31"/>
      <c r="D32" s="31"/>
      <c r="E32" s="26" t="str">
        <f aca="false">IF(OR(C32="",D32=""),"",ROUND(MOD(D32-C32,1)*1440,0))</f>
        <v/>
      </c>
      <c r="F32" s="10"/>
      <c r="G32" s="10"/>
      <c r="H32" s="27"/>
      <c r="I32" s="27"/>
      <c r="J32" s="10"/>
      <c r="K32" s="27"/>
      <c r="L32" s="10"/>
      <c r="M32" s="27"/>
      <c r="N32" s="10"/>
      <c r="O32" s="10"/>
      <c r="P32" s="27"/>
      <c r="Q32" s="10"/>
      <c r="R32" s="10"/>
      <c r="S32" s="2"/>
      <c r="T32" s="10"/>
      <c r="U32" s="11"/>
      <c r="V32" s="11"/>
      <c r="W32" s="10"/>
      <c r="X32" s="27"/>
      <c r="Y32" s="19" t="str">
        <f aca="false">IF(B32="","",IF(V32&lt;&gt;"","Closed",IF(S32="","CAPA not set",IF(U32="","Open",IF(U32&lt;Dashboard!$C$5,"Overdue","Open")))))</f>
        <v/>
      </c>
      <c r="Z32" s="26" t="str">
        <f aca="false">IF(OR(B32="",V32=""),"",V32-B32)</f>
        <v/>
      </c>
    </row>
    <row r="33" customFormat="false" ht="15" hidden="false" customHeight="false" outlineLevel="0" collapsed="false">
      <c r="A33" s="19" t="str">
        <f aca="false">IF(B33="","","CS-"&amp;TEXT(ROW()-4,"000"))</f>
        <v/>
      </c>
      <c r="B33" s="11"/>
      <c r="C33" s="31"/>
      <c r="D33" s="31"/>
      <c r="E33" s="26" t="str">
        <f aca="false">IF(OR(C33="",D33=""),"",ROUND(MOD(D33-C33,1)*1440,0))</f>
        <v/>
      </c>
      <c r="F33" s="10"/>
      <c r="G33" s="10"/>
      <c r="H33" s="27"/>
      <c r="I33" s="27"/>
      <c r="J33" s="10"/>
      <c r="K33" s="27"/>
      <c r="L33" s="10"/>
      <c r="M33" s="27"/>
      <c r="N33" s="10"/>
      <c r="O33" s="10"/>
      <c r="P33" s="27"/>
      <c r="Q33" s="10"/>
      <c r="R33" s="10"/>
      <c r="S33" s="2"/>
      <c r="T33" s="10"/>
      <c r="U33" s="11"/>
      <c r="V33" s="11"/>
      <c r="W33" s="10"/>
      <c r="X33" s="27"/>
      <c r="Y33" s="19" t="str">
        <f aca="false">IF(B33="","",IF(V33&lt;&gt;"","Closed",IF(S33="","CAPA not set",IF(U33="","Open",IF(U33&lt;Dashboard!$C$5,"Overdue","Open")))))</f>
        <v/>
      </c>
      <c r="Z33" s="26" t="str">
        <f aca="false">IF(OR(B33="",V33=""),"",V33-B33)</f>
        <v/>
      </c>
    </row>
    <row r="34" customFormat="false" ht="15" hidden="false" customHeight="false" outlineLevel="0" collapsed="false">
      <c r="A34" s="19" t="str">
        <f aca="false">IF(B34="","","CS-"&amp;TEXT(ROW()-4,"000"))</f>
        <v/>
      </c>
      <c r="B34" s="11"/>
      <c r="C34" s="31"/>
      <c r="D34" s="31"/>
      <c r="E34" s="26" t="str">
        <f aca="false">IF(OR(C34="",D34=""),"",ROUND(MOD(D34-C34,1)*1440,0))</f>
        <v/>
      </c>
      <c r="F34" s="10"/>
      <c r="G34" s="10"/>
      <c r="H34" s="27"/>
      <c r="I34" s="27"/>
      <c r="J34" s="10"/>
      <c r="K34" s="27"/>
      <c r="L34" s="10"/>
      <c r="M34" s="27"/>
      <c r="N34" s="10"/>
      <c r="O34" s="10"/>
      <c r="P34" s="27"/>
      <c r="Q34" s="10"/>
      <c r="R34" s="10"/>
      <c r="S34" s="2"/>
      <c r="T34" s="10"/>
      <c r="U34" s="11"/>
      <c r="V34" s="11"/>
      <c r="W34" s="10"/>
      <c r="X34" s="27"/>
      <c r="Y34" s="19" t="str">
        <f aca="false">IF(B34="","",IF(V34&lt;&gt;"","Closed",IF(S34="","CAPA not set",IF(U34="","Open",IF(U34&lt;Dashboard!$C$5,"Overdue","Open")))))</f>
        <v/>
      </c>
      <c r="Z34" s="26" t="str">
        <f aca="false">IF(OR(B34="",V34=""),"",V34-B34)</f>
        <v/>
      </c>
    </row>
    <row r="35" customFormat="false" ht="15" hidden="false" customHeight="false" outlineLevel="0" collapsed="false">
      <c r="A35" s="19" t="str">
        <f aca="false">IF(B35="","","CS-"&amp;TEXT(ROW()-4,"000"))</f>
        <v/>
      </c>
      <c r="B35" s="11"/>
      <c r="C35" s="31"/>
      <c r="D35" s="31"/>
      <c r="E35" s="26" t="str">
        <f aca="false">IF(OR(C35="",D35=""),"",ROUND(MOD(D35-C35,1)*1440,0))</f>
        <v/>
      </c>
      <c r="F35" s="10"/>
      <c r="G35" s="10"/>
      <c r="H35" s="27"/>
      <c r="I35" s="27"/>
      <c r="J35" s="10"/>
      <c r="K35" s="27"/>
      <c r="L35" s="10"/>
      <c r="M35" s="27"/>
      <c r="N35" s="10"/>
      <c r="O35" s="10"/>
      <c r="P35" s="27"/>
      <c r="Q35" s="10"/>
      <c r="R35" s="10"/>
      <c r="S35" s="2"/>
      <c r="T35" s="10"/>
      <c r="U35" s="11"/>
      <c r="V35" s="11"/>
      <c r="W35" s="10"/>
      <c r="X35" s="27"/>
      <c r="Y35" s="19" t="str">
        <f aca="false">IF(B35="","",IF(V35&lt;&gt;"","Closed",IF(S35="","CAPA not set",IF(U35="","Open",IF(U35&lt;Dashboard!$C$5,"Overdue","Open")))))</f>
        <v/>
      </c>
      <c r="Z35" s="26" t="str">
        <f aca="false">IF(OR(B35="",V35=""),"",V35-B35)</f>
        <v/>
      </c>
    </row>
    <row r="36" customFormat="false" ht="15" hidden="false" customHeight="false" outlineLevel="0" collapsed="false">
      <c r="A36" s="19" t="str">
        <f aca="false">IF(B36="","","CS-"&amp;TEXT(ROW()-4,"000"))</f>
        <v/>
      </c>
      <c r="B36" s="11"/>
      <c r="C36" s="31"/>
      <c r="D36" s="31"/>
      <c r="E36" s="26" t="str">
        <f aca="false">IF(OR(C36="",D36=""),"",ROUND(MOD(D36-C36,1)*1440,0))</f>
        <v/>
      </c>
      <c r="F36" s="10"/>
      <c r="G36" s="10"/>
      <c r="H36" s="27"/>
      <c r="I36" s="27"/>
      <c r="J36" s="10"/>
      <c r="K36" s="27"/>
      <c r="L36" s="10"/>
      <c r="M36" s="27"/>
      <c r="N36" s="10"/>
      <c r="O36" s="10"/>
      <c r="P36" s="27"/>
      <c r="Q36" s="10"/>
      <c r="R36" s="10"/>
      <c r="S36" s="2"/>
      <c r="T36" s="10"/>
      <c r="U36" s="11"/>
      <c r="V36" s="11"/>
      <c r="W36" s="10"/>
      <c r="X36" s="27"/>
      <c r="Y36" s="19" t="str">
        <f aca="false">IF(B36="","",IF(V36&lt;&gt;"","Closed",IF(S36="","CAPA not set",IF(U36="","Open",IF(U36&lt;Dashboard!$C$5,"Overdue","Open")))))</f>
        <v/>
      </c>
      <c r="Z36" s="26" t="str">
        <f aca="false">IF(OR(B36="",V36=""),"",V36-B36)</f>
        <v/>
      </c>
    </row>
    <row r="37" customFormat="false" ht="15" hidden="false" customHeight="false" outlineLevel="0" collapsed="false">
      <c r="A37" s="19" t="str">
        <f aca="false">IF(B37="","","CS-"&amp;TEXT(ROW()-4,"000"))</f>
        <v/>
      </c>
      <c r="B37" s="11"/>
      <c r="C37" s="31"/>
      <c r="D37" s="31"/>
      <c r="E37" s="26" t="str">
        <f aca="false">IF(OR(C37="",D37=""),"",ROUND(MOD(D37-C37,1)*1440,0))</f>
        <v/>
      </c>
      <c r="F37" s="10"/>
      <c r="G37" s="10"/>
      <c r="H37" s="27"/>
      <c r="I37" s="27"/>
      <c r="J37" s="10"/>
      <c r="K37" s="27"/>
      <c r="L37" s="10"/>
      <c r="M37" s="27"/>
      <c r="N37" s="10"/>
      <c r="O37" s="10"/>
      <c r="P37" s="27"/>
      <c r="Q37" s="10"/>
      <c r="R37" s="10"/>
      <c r="S37" s="2"/>
      <c r="T37" s="10"/>
      <c r="U37" s="11"/>
      <c r="V37" s="11"/>
      <c r="W37" s="10"/>
      <c r="X37" s="27"/>
      <c r="Y37" s="19" t="str">
        <f aca="false">IF(B37="","",IF(V37&lt;&gt;"","Closed",IF(S37="","CAPA not set",IF(U37="","Open",IF(U37&lt;Dashboard!$C$5,"Overdue","Open")))))</f>
        <v/>
      </c>
      <c r="Z37" s="26" t="str">
        <f aca="false">IF(OR(B37="",V37=""),"",V37-B37)</f>
        <v/>
      </c>
    </row>
    <row r="38" customFormat="false" ht="15" hidden="false" customHeight="false" outlineLevel="0" collapsed="false">
      <c r="A38" s="19" t="str">
        <f aca="false">IF(B38="","","CS-"&amp;TEXT(ROW()-4,"000"))</f>
        <v/>
      </c>
      <c r="B38" s="11"/>
      <c r="C38" s="31"/>
      <c r="D38" s="31"/>
      <c r="E38" s="26" t="str">
        <f aca="false">IF(OR(C38="",D38=""),"",ROUND(MOD(D38-C38,1)*1440,0))</f>
        <v/>
      </c>
      <c r="F38" s="10"/>
      <c r="G38" s="10"/>
      <c r="H38" s="27"/>
      <c r="I38" s="27"/>
      <c r="J38" s="10"/>
      <c r="K38" s="27"/>
      <c r="L38" s="10"/>
      <c r="M38" s="27"/>
      <c r="N38" s="10"/>
      <c r="O38" s="10"/>
      <c r="P38" s="27"/>
      <c r="Q38" s="10"/>
      <c r="R38" s="10"/>
      <c r="S38" s="2"/>
      <c r="T38" s="10"/>
      <c r="U38" s="11"/>
      <c r="V38" s="11"/>
      <c r="W38" s="10"/>
      <c r="X38" s="27"/>
      <c r="Y38" s="19" t="str">
        <f aca="false">IF(B38="","",IF(V38&lt;&gt;"","Closed",IF(S38="","CAPA not set",IF(U38="","Open",IF(U38&lt;Dashboard!$C$5,"Overdue","Open")))))</f>
        <v/>
      </c>
      <c r="Z38" s="26" t="str">
        <f aca="false">IF(OR(B38="",V38=""),"",V38-B38)</f>
        <v/>
      </c>
    </row>
    <row r="39" customFormat="false" ht="15" hidden="false" customHeight="false" outlineLevel="0" collapsed="false">
      <c r="A39" s="19" t="str">
        <f aca="false">IF(B39="","","CS-"&amp;TEXT(ROW()-4,"000"))</f>
        <v/>
      </c>
      <c r="B39" s="11"/>
      <c r="C39" s="31"/>
      <c r="D39" s="31"/>
      <c r="E39" s="26" t="str">
        <f aca="false">IF(OR(C39="",D39=""),"",ROUND(MOD(D39-C39,1)*1440,0))</f>
        <v/>
      </c>
      <c r="F39" s="10"/>
      <c r="G39" s="10"/>
      <c r="H39" s="27"/>
      <c r="I39" s="27"/>
      <c r="J39" s="10"/>
      <c r="K39" s="27"/>
      <c r="L39" s="10"/>
      <c r="M39" s="27"/>
      <c r="N39" s="10"/>
      <c r="O39" s="10"/>
      <c r="P39" s="27"/>
      <c r="Q39" s="10"/>
      <c r="R39" s="10"/>
      <c r="S39" s="2"/>
      <c r="T39" s="10"/>
      <c r="U39" s="11"/>
      <c r="V39" s="11"/>
      <c r="W39" s="10"/>
      <c r="X39" s="27"/>
      <c r="Y39" s="19" t="str">
        <f aca="false">IF(B39="","",IF(V39&lt;&gt;"","Closed",IF(S39="","CAPA not set",IF(U39="","Open",IF(U39&lt;Dashboard!$C$5,"Overdue","Open")))))</f>
        <v/>
      </c>
      <c r="Z39" s="26" t="str">
        <f aca="false">IF(OR(B39="",V39=""),"",V39-B39)</f>
        <v/>
      </c>
    </row>
    <row r="40" customFormat="false" ht="15" hidden="false" customHeight="false" outlineLevel="0" collapsed="false">
      <c r="A40" s="19" t="str">
        <f aca="false">IF(B40="","","CS-"&amp;TEXT(ROW()-4,"000"))</f>
        <v/>
      </c>
      <c r="B40" s="11"/>
      <c r="C40" s="31"/>
      <c r="D40" s="31"/>
      <c r="E40" s="26" t="str">
        <f aca="false">IF(OR(C40="",D40=""),"",ROUND(MOD(D40-C40,1)*1440,0))</f>
        <v/>
      </c>
      <c r="F40" s="10"/>
      <c r="G40" s="10"/>
      <c r="H40" s="27"/>
      <c r="I40" s="27"/>
      <c r="J40" s="10"/>
      <c r="K40" s="27"/>
      <c r="L40" s="10"/>
      <c r="M40" s="27"/>
      <c r="N40" s="10"/>
      <c r="O40" s="10"/>
      <c r="P40" s="27"/>
      <c r="Q40" s="10"/>
      <c r="R40" s="10"/>
      <c r="S40" s="2"/>
      <c r="T40" s="10"/>
      <c r="U40" s="11"/>
      <c r="V40" s="11"/>
      <c r="W40" s="10"/>
      <c r="X40" s="27"/>
      <c r="Y40" s="19" t="str">
        <f aca="false">IF(B40="","",IF(V40&lt;&gt;"","Closed",IF(S40="","CAPA not set",IF(U40="","Open",IF(U40&lt;Dashboard!$C$5,"Overdue","Open")))))</f>
        <v/>
      </c>
      <c r="Z40" s="26" t="str">
        <f aca="false">IF(OR(B40="",V40=""),"",V40-B40)</f>
        <v/>
      </c>
    </row>
    <row r="41" customFormat="false" ht="15" hidden="false" customHeight="false" outlineLevel="0" collapsed="false">
      <c r="A41" s="19" t="str">
        <f aca="false">IF(B41="","","CS-"&amp;TEXT(ROW()-4,"000"))</f>
        <v/>
      </c>
      <c r="B41" s="11"/>
      <c r="C41" s="31"/>
      <c r="D41" s="31"/>
      <c r="E41" s="26" t="str">
        <f aca="false">IF(OR(C41="",D41=""),"",ROUND(MOD(D41-C41,1)*1440,0))</f>
        <v/>
      </c>
      <c r="F41" s="10"/>
      <c r="G41" s="10"/>
      <c r="H41" s="27"/>
      <c r="I41" s="27"/>
      <c r="J41" s="10"/>
      <c r="K41" s="27"/>
      <c r="L41" s="10"/>
      <c r="M41" s="27"/>
      <c r="N41" s="10"/>
      <c r="O41" s="10"/>
      <c r="P41" s="27"/>
      <c r="Q41" s="10"/>
      <c r="R41" s="10"/>
      <c r="S41" s="2"/>
      <c r="T41" s="10"/>
      <c r="U41" s="11"/>
      <c r="V41" s="11"/>
      <c r="W41" s="10"/>
      <c r="X41" s="27"/>
      <c r="Y41" s="19" t="str">
        <f aca="false">IF(B41="","",IF(V41&lt;&gt;"","Closed",IF(S41="","CAPA not set",IF(U41="","Open",IF(U41&lt;Dashboard!$C$5,"Overdue","Open")))))</f>
        <v/>
      </c>
      <c r="Z41" s="26" t="str">
        <f aca="false">IF(OR(B41="",V41=""),"",V41-B41)</f>
        <v/>
      </c>
    </row>
    <row r="42" customFormat="false" ht="15" hidden="false" customHeight="false" outlineLevel="0" collapsed="false">
      <c r="A42" s="19" t="str">
        <f aca="false">IF(B42="","","CS-"&amp;TEXT(ROW()-4,"000"))</f>
        <v/>
      </c>
      <c r="B42" s="11"/>
      <c r="C42" s="31"/>
      <c r="D42" s="31"/>
      <c r="E42" s="26" t="str">
        <f aca="false">IF(OR(C42="",D42=""),"",ROUND(MOD(D42-C42,1)*1440,0))</f>
        <v/>
      </c>
      <c r="F42" s="10"/>
      <c r="G42" s="10"/>
      <c r="H42" s="27"/>
      <c r="I42" s="27"/>
      <c r="J42" s="10"/>
      <c r="K42" s="27"/>
      <c r="L42" s="10"/>
      <c r="M42" s="27"/>
      <c r="N42" s="10"/>
      <c r="O42" s="10"/>
      <c r="P42" s="27"/>
      <c r="Q42" s="10"/>
      <c r="R42" s="10"/>
      <c r="S42" s="2"/>
      <c r="T42" s="10"/>
      <c r="U42" s="11"/>
      <c r="V42" s="11"/>
      <c r="W42" s="10"/>
      <c r="X42" s="27"/>
      <c r="Y42" s="19" t="str">
        <f aca="false">IF(B42="","",IF(V42&lt;&gt;"","Closed",IF(S42="","CAPA not set",IF(U42="","Open",IF(U42&lt;Dashboard!$C$5,"Overdue","Open")))))</f>
        <v/>
      </c>
      <c r="Z42" s="26" t="str">
        <f aca="false">IF(OR(B42="",V42=""),"",V42-B42)</f>
        <v/>
      </c>
    </row>
    <row r="43" customFormat="false" ht="15" hidden="false" customHeight="false" outlineLevel="0" collapsed="false">
      <c r="A43" s="19" t="str">
        <f aca="false">IF(B43="","","CS-"&amp;TEXT(ROW()-4,"000"))</f>
        <v/>
      </c>
      <c r="B43" s="11"/>
      <c r="C43" s="31"/>
      <c r="D43" s="31"/>
      <c r="E43" s="26" t="str">
        <f aca="false">IF(OR(C43="",D43=""),"",ROUND(MOD(D43-C43,1)*1440,0))</f>
        <v/>
      </c>
      <c r="F43" s="10"/>
      <c r="G43" s="10"/>
      <c r="H43" s="27"/>
      <c r="I43" s="27"/>
      <c r="J43" s="10"/>
      <c r="K43" s="27"/>
      <c r="L43" s="10"/>
      <c r="M43" s="27"/>
      <c r="N43" s="10"/>
      <c r="O43" s="10"/>
      <c r="P43" s="27"/>
      <c r="Q43" s="10"/>
      <c r="R43" s="10"/>
      <c r="S43" s="2"/>
      <c r="T43" s="10"/>
      <c r="U43" s="11"/>
      <c r="V43" s="11"/>
      <c r="W43" s="10"/>
      <c r="X43" s="27"/>
      <c r="Y43" s="19" t="str">
        <f aca="false">IF(B43="","",IF(V43&lt;&gt;"","Closed",IF(S43="","CAPA not set",IF(U43="","Open",IF(U43&lt;Dashboard!$C$5,"Overdue","Open")))))</f>
        <v/>
      </c>
      <c r="Z43" s="26" t="str">
        <f aca="false">IF(OR(B43="",V43=""),"",V43-B43)</f>
        <v/>
      </c>
    </row>
    <row r="44" customFormat="false" ht="15" hidden="false" customHeight="false" outlineLevel="0" collapsed="false">
      <c r="A44" s="19" t="str">
        <f aca="false">IF(B44="","","CS-"&amp;TEXT(ROW()-4,"000"))</f>
        <v/>
      </c>
      <c r="B44" s="11"/>
      <c r="C44" s="31"/>
      <c r="D44" s="31"/>
      <c r="E44" s="26" t="str">
        <f aca="false">IF(OR(C44="",D44=""),"",ROUND(MOD(D44-C44,1)*1440,0))</f>
        <v/>
      </c>
      <c r="F44" s="10"/>
      <c r="G44" s="10"/>
      <c r="H44" s="27"/>
      <c r="I44" s="27"/>
      <c r="J44" s="10"/>
      <c r="K44" s="27"/>
      <c r="L44" s="10"/>
      <c r="M44" s="27"/>
      <c r="N44" s="10"/>
      <c r="O44" s="10"/>
      <c r="P44" s="27"/>
      <c r="Q44" s="10"/>
      <c r="R44" s="10"/>
      <c r="S44" s="2"/>
      <c r="T44" s="10"/>
      <c r="U44" s="11"/>
      <c r="V44" s="11"/>
      <c r="W44" s="10"/>
      <c r="X44" s="27"/>
      <c r="Y44" s="19" t="str">
        <f aca="false">IF(B44="","",IF(V44&lt;&gt;"","Closed",IF(S44="","CAPA not set",IF(U44="","Open",IF(U44&lt;Dashboard!$C$5,"Overdue","Open")))))</f>
        <v/>
      </c>
      <c r="Z44" s="26" t="str">
        <f aca="false">IF(OR(B44="",V44=""),"",V44-B44)</f>
        <v/>
      </c>
    </row>
    <row r="45" customFormat="false" ht="15" hidden="false" customHeight="false" outlineLevel="0" collapsed="false">
      <c r="A45" s="19" t="str">
        <f aca="false">IF(B45="","","CS-"&amp;TEXT(ROW()-4,"000"))</f>
        <v/>
      </c>
      <c r="B45" s="11"/>
      <c r="C45" s="31"/>
      <c r="D45" s="31"/>
      <c r="E45" s="26" t="str">
        <f aca="false">IF(OR(C45="",D45=""),"",ROUND(MOD(D45-C45,1)*1440,0))</f>
        <v/>
      </c>
      <c r="F45" s="10"/>
      <c r="G45" s="10"/>
      <c r="H45" s="27"/>
      <c r="I45" s="27"/>
      <c r="J45" s="10"/>
      <c r="K45" s="27"/>
      <c r="L45" s="10"/>
      <c r="M45" s="27"/>
      <c r="N45" s="10"/>
      <c r="O45" s="10"/>
      <c r="P45" s="27"/>
      <c r="Q45" s="10"/>
      <c r="R45" s="10"/>
      <c r="S45" s="2"/>
      <c r="T45" s="10"/>
      <c r="U45" s="11"/>
      <c r="V45" s="11"/>
      <c r="W45" s="10"/>
      <c r="X45" s="27"/>
      <c r="Y45" s="19" t="str">
        <f aca="false">IF(B45="","",IF(V45&lt;&gt;"","Closed",IF(S45="","CAPA not set",IF(U45="","Open",IF(U45&lt;Dashboard!$C$5,"Overdue","Open")))))</f>
        <v/>
      </c>
      <c r="Z45" s="26" t="str">
        <f aca="false">IF(OR(B45="",V45=""),"",V45-B45)</f>
        <v/>
      </c>
    </row>
    <row r="46" customFormat="false" ht="15" hidden="false" customHeight="false" outlineLevel="0" collapsed="false">
      <c r="A46" s="19" t="str">
        <f aca="false">IF(B46="","","CS-"&amp;TEXT(ROW()-4,"000"))</f>
        <v/>
      </c>
      <c r="B46" s="11"/>
      <c r="C46" s="31"/>
      <c r="D46" s="31"/>
      <c r="E46" s="26" t="str">
        <f aca="false">IF(OR(C46="",D46=""),"",ROUND(MOD(D46-C46,1)*1440,0))</f>
        <v/>
      </c>
      <c r="F46" s="10"/>
      <c r="G46" s="10"/>
      <c r="H46" s="27"/>
      <c r="I46" s="27"/>
      <c r="J46" s="10"/>
      <c r="K46" s="27"/>
      <c r="L46" s="10"/>
      <c r="M46" s="27"/>
      <c r="N46" s="10"/>
      <c r="O46" s="10"/>
      <c r="P46" s="27"/>
      <c r="Q46" s="10"/>
      <c r="R46" s="10"/>
      <c r="S46" s="2"/>
      <c r="T46" s="10"/>
      <c r="U46" s="11"/>
      <c r="V46" s="11"/>
      <c r="W46" s="10"/>
      <c r="X46" s="27"/>
      <c r="Y46" s="19" t="str">
        <f aca="false">IF(B46="","",IF(V46&lt;&gt;"","Closed",IF(S46="","CAPA not set",IF(U46="","Open",IF(U46&lt;Dashboard!$C$5,"Overdue","Open")))))</f>
        <v/>
      </c>
      <c r="Z46" s="26" t="str">
        <f aca="false">IF(OR(B46="",V46=""),"",V46-B46)</f>
        <v/>
      </c>
    </row>
    <row r="47" customFormat="false" ht="15" hidden="false" customHeight="false" outlineLevel="0" collapsed="false">
      <c r="A47" s="19" t="str">
        <f aca="false">IF(B47="","","CS-"&amp;TEXT(ROW()-4,"000"))</f>
        <v/>
      </c>
      <c r="B47" s="11"/>
      <c r="C47" s="31"/>
      <c r="D47" s="31"/>
      <c r="E47" s="26" t="str">
        <f aca="false">IF(OR(C47="",D47=""),"",ROUND(MOD(D47-C47,1)*1440,0))</f>
        <v/>
      </c>
      <c r="F47" s="10"/>
      <c r="G47" s="10"/>
      <c r="H47" s="27"/>
      <c r="I47" s="27"/>
      <c r="J47" s="10"/>
      <c r="K47" s="27"/>
      <c r="L47" s="10"/>
      <c r="M47" s="27"/>
      <c r="N47" s="10"/>
      <c r="O47" s="10"/>
      <c r="P47" s="27"/>
      <c r="Q47" s="10"/>
      <c r="R47" s="10"/>
      <c r="S47" s="2"/>
      <c r="T47" s="10"/>
      <c r="U47" s="11"/>
      <c r="V47" s="11"/>
      <c r="W47" s="10"/>
      <c r="X47" s="27"/>
      <c r="Y47" s="19" t="str">
        <f aca="false">IF(B47="","",IF(V47&lt;&gt;"","Closed",IF(S47="","CAPA not set",IF(U47="","Open",IF(U47&lt;Dashboard!$C$5,"Overdue","Open")))))</f>
        <v/>
      </c>
      <c r="Z47" s="26" t="str">
        <f aca="false">IF(OR(B47="",V47=""),"",V47-B47)</f>
        <v/>
      </c>
    </row>
    <row r="48" customFormat="false" ht="15" hidden="false" customHeight="false" outlineLevel="0" collapsed="false">
      <c r="A48" s="19" t="str">
        <f aca="false">IF(B48="","","CS-"&amp;TEXT(ROW()-4,"000"))</f>
        <v/>
      </c>
      <c r="B48" s="11"/>
      <c r="C48" s="31"/>
      <c r="D48" s="31"/>
      <c r="E48" s="26" t="str">
        <f aca="false">IF(OR(C48="",D48=""),"",ROUND(MOD(D48-C48,1)*1440,0))</f>
        <v/>
      </c>
      <c r="F48" s="10"/>
      <c r="G48" s="10"/>
      <c r="H48" s="27"/>
      <c r="I48" s="27"/>
      <c r="J48" s="10"/>
      <c r="K48" s="27"/>
      <c r="L48" s="10"/>
      <c r="M48" s="27"/>
      <c r="N48" s="10"/>
      <c r="O48" s="10"/>
      <c r="P48" s="27"/>
      <c r="Q48" s="10"/>
      <c r="R48" s="10"/>
      <c r="S48" s="2"/>
      <c r="T48" s="10"/>
      <c r="U48" s="11"/>
      <c r="V48" s="11"/>
      <c r="W48" s="10"/>
      <c r="X48" s="27"/>
      <c r="Y48" s="19" t="str">
        <f aca="false">IF(B48="","",IF(V48&lt;&gt;"","Closed",IF(S48="","CAPA not set",IF(U48="","Open",IF(U48&lt;Dashboard!$C$5,"Overdue","Open")))))</f>
        <v/>
      </c>
      <c r="Z48" s="26" t="str">
        <f aca="false">IF(OR(B48="",V48=""),"",V48-B48)</f>
        <v/>
      </c>
    </row>
    <row r="49" customFormat="false" ht="15" hidden="false" customHeight="false" outlineLevel="0" collapsed="false">
      <c r="A49" s="19" t="str">
        <f aca="false">IF(B49="","","CS-"&amp;TEXT(ROW()-4,"000"))</f>
        <v/>
      </c>
      <c r="B49" s="11"/>
      <c r="C49" s="31"/>
      <c r="D49" s="31"/>
      <c r="E49" s="26" t="str">
        <f aca="false">IF(OR(C49="",D49=""),"",ROUND(MOD(D49-C49,1)*1440,0))</f>
        <v/>
      </c>
      <c r="F49" s="10"/>
      <c r="G49" s="10"/>
      <c r="H49" s="27"/>
      <c r="I49" s="27"/>
      <c r="J49" s="10"/>
      <c r="K49" s="27"/>
      <c r="L49" s="10"/>
      <c r="M49" s="27"/>
      <c r="N49" s="10"/>
      <c r="O49" s="10"/>
      <c r="P49" s="27"/>
      <c r="Q49" s="10"/>
      <c r="R49" s="10"/>
      <c r="S49" s="2"/>
      <c r="T49" s="10"/>
      <c r="U49" s="11"/>
      <c r="V49" s="11"/>
      <c r="W49" s="10"/>
      <c r="X49" s="27"/>
      <c r="Y49" s="19" t="str">
        <f aca="false">IF(B49="","",IF(V49&lt;&gt;"","Closed",IF(S49="","CAPA not set",IF(U49="","Open",IF(U49&lt;Dashboard!$C$5,"Overdue","Open")))))</f>
        <v/>
      </c>
      <c r="Z49" s="26" t="str">
        <f aca="false">IF(OR(B49="",V49=""),"",V49-B49)</f>
        <v/>
      </c>
    </row>
    <row r="50" customFormat="false" ht="15" hidden="false" customHeight="false" outlineLevel="0" collapsed="false">
      <c r="A50" s="19" t="str">
        <f aca="false">IF(B50="","","CS-"&amp;TEXT(ROW()-4,"000"))</f>
        <v/>
      </c>
      <c r="B50" s="11"/>
      <c r="C50" s="31"/>
      <c r="D50" s="31"/>
      <c r="E50" s="26" t="str">
        <f aca="false">IF(OR(C50="",D50=""),"",ROUND(MOD(D50-C50,1)*1440,0))</f>
        <v/>
      </c>
      <c r="F50" s="10"/>
      <c r="G50" s="10"/>
      <c r="H50" s="27"/>
      <c r="I50" s="27"/>
      <c r="J50" s="10"/>
      <c r="K50" s="27"/>
      <c r="L50" s="10"/>
      <c r="M50" s="27"/>
      <c r="N50" s="10"/>
      <c r="O50" s="10"/>
      <c r="P50" s="27"/>
      <c r="Q50" s="10"/>
      <c r="R50" s="10"/>
      <c r="S50" s="2"/>
      <c r="T50" s="10"/>
      <c r="U50" s="11"/>
      <c r="V50" s="11"/>
      <c r="W50" s="10"/>
      <c r="X50" s="27"/>
      <c r="Y50" s="19" t="str">
        <f aca="false">IF(B50="","",IF(V50&lt;&gt;"","Closed",IF(S50="","CAPA not set",IF(U50="","Open",IF(U50&lt;Dashboard!$C$5,"Overdue","Open")))))</f>
        <v/>
      </c>
      <c r="Z50" s="26" t="str">
        <f aca="false">IF(OR(B50="",V50=""),"",V50-B50)</f>
        <v/>
      </c>
    </row>
    <row r="51" customFormat="false" ht="15" hidden="false" customHeight="false" outlineLevel="0" collapsed="false">
      <c r="A51" s="19" t="str">
        <f aca="false">IF(B51="","","CS-"&amp;TEXT(ROW()-4,"000"))</f>
        <v/>
      </c>
      <c r="B51" s="11"/>
      <c r="C51" s="31"/>
      <c r="D51" s="31"/>
      <c r="E51" s="26" t="str">
        <f aca="false">IF(OR(C51="",D51=""),"",ROUND(MOD(D51-C51,1)*1440,0))</f>
        <v/>
      </c>
      <c r="F51" s="10"/>
      <c r="G51" s="10"/>
      <c r="H51" s="27"/>
      <c r="I51" s="27"/>
      <c r="J51" s="10"/>
      <c r="K51" s="27"/>
      <c r="L51" s="10"/>
      <c r="M51" s="27"/>
      <c r="N51" s="10"/>
      <c r="O51" s="10"/>
      <c r="P51" s="27"/>
      <c r="Q51" s="10"/>
      <c r="R51" s="10"/>
      <c r="S51" s="2"/>
      <c r="T51" s="10"/>
      <c r="U51" s="11"/>
      <c r="V51" s="11"/>
      <c r="W51" s="10"/>
      <c r="X51" s="27"/>
      <c r="Y51" s="19" t="str">
        <f aca="false">IF(B51="","",IF(V51&lt;&gt;"","Closed",IF(S51="","CAPA not set",IF(U51="","Open",IF(U51&lt;Dashboard!$C$5,"Overdue","Open")))))</f>
        <v/>
      </c>
      <c r="Z51" s="26" t="str">
        <f aca="false">IF(OR(B51="",V51=""),"",V51-B51)</f>
        <v/>
      </c>
    </row>
    <row r="52" customFormat="false" ht="15" hidden="false" customHeight="false" outlineLevel="0" collapsed="false">
      <c r="A52" s="19" t="str">
        <f aca="false">IF(B52="","","CS-"&amp;TEXT(ROW()-4,"000"))</f>
        <v/>
      </c>
      <c r="B52" s="11"/>
      <c r="C52" s="31"/>
      <c r="D52" s="31"/>
      <c r="E52" s="26" t="str">
        <f aca="false">IF(OR(C52="",D52=""),"",ROUND(MOD(D52-C52,1)*1440,0))</f>
        <v/>
      </c>
      <c r="F52" s="10"/>
      <c r="G52" s="10"/>
      <c r="H52" s="27"/>
      <c r="I52" s="27"/>
      <c r="J52" s="10"/>
      <c r="K52" s="27"/>
      <c r="L52" s="10"/>
      <c r="M52" s="27"/>
      <c r="N52" s="10"/>
      <c r="O52" s="10"/>
      <c r="P52" s="27"/>
      <c r="Q52" s="10"/>
      <c r="R52" s="10"/>
      <c r="S52" s="2"/>
      <c r="T52" s="10"/>
      <c r="U52" s="11"/>
      <c r="V52" s="11"/>
      <c r="W52" s="10"/>
      <c r="X52" s="27"/>
      <c r="Y52" s="19" t="str">
        <f aca="false">IF(B52="","",IF(V52&lt;&gt;"","Closed",IF(S52="","CAPA not set",IF(U52="","Open",IF(U52&lt;Dashboard!$C$5,"Overdue","Open")))))</f>
        <v/>
      </c>
      <c r="Z52" s="26" t="str">
        <f aca="false">IF(OR(B52="",V52=""),"",V52-B52)</f>
        <v/>
      </c>
    </row>
    <row r="53" customFormat="false" ht="15" hidden="false" customHeight="false" outlineLevel="0" collapsed="false">
      <c r="A53" s="19" t="str">
        <f aca="false">IF(B53="","","CS-"&amp;TEXT(ROW()-4,"000"))</f>
        <v/>
      </c>
      <c r="B53" s="11"/>
      <c r="C53" s="31"/>
      <c r="D53" s="31"/>
      <c r="E53" s="26" t="str">
        <f aca="false">IF(OR(C53="",D53=""),"",ROUND(MOD(D53-C53,1)*1440,0))</f>
        <v/>
      </c>
      <c r="F53" s="10"/>
      <c r="G53" s="10"/>
      <c r="H53" s="27"/>
      <c r="I53" s="27"/>
      <c r="J53" s="10"/>
      <c r="K53" s="27"/>
      <c r="L53" s="10"/>
      <c r="M53" s="27"/>
      <c r="N53" s="10"/>
      <c r="O53" s="10"/>
      <c r="P53" s="27"/>
      <c r="Q53" s="10"/>
      <c r="R53" s="10"/>
      <c r="S53" s="2"/>
      <c r="T53" s="10"/>
      <c r="U53" s="11"/>
      <c r="V53" s="11"/>
      <c r="W53" s="10"/>
      <c r="X53" s="27"/>
      <c r="Y53" s="19" t="str">
        <f aca="false">IF(B53="","",IF(V53&lt;&gt;"","Closed",IF(S53="","CAPA not set",IF(U53="","Open",IF(U53&lt;Dashboard!$C$5,"Overdue","Open")))))</f>
        <v/>
      </c>
      <c r="Z53" s="26" t="str">
        <f aca="false">IF(OR(B53="",V53=""),"",V53-B53)</f>
        <v/>
      </c>
    </row>
    <row r="54" customFormat="false" ht="15" hidden="false" customHeight="false" outlineLevel="0" collapsed="false">
      <c r="A54" s="19" t="str">
        <f aca="false">IF(B54="","","CS-"&amp;TEXT(ROW()-4,"000"))</f>
        <v/>
      </c>
      <c r="B54" s="11"/>
      <c r="C54" s="31"/>
      <c r="D54" s="31"/>
      <c r="E54" s="26" t="str">
        <f aca="false">IF(OR(C54="",D54=""),"",ROUND(MOD(D54-C54,1)*1440,0))</f>
        <v/>
      </c>
      <c r="F54" s="10"/>
      <c r="G54" s="10"/>
      <c r="H54" s="27"/>
      <c r="I54" s="27"/>
      <c r="J54" s="10"/>
      <c r="K54" s="27"/>
      <c r="L54" s="10"/>
      <c r="M54" s="27"/>
      <c r="N54" s="10"/>
      <c r="O54" s="10"/>
      <c r="P54" s="27"/>
      <c r="Q54" s="10"/>
      <c r="R54" s="10"/>
      <c r="S54" s="2"/>
      <c r="T54" s="10"/>
      <c r="U54" s="11"/>
      <c r="V54" s="11"/>
      <c r="W54" s="10"/>
      <c r="X54" s="27"/>
      <c r="Y54" s="19" t="str">
        <f aca="false">IF(B54="","",IF(V54&lt;&gt;"","Closed",IF(S54="","CAPA not set",IF(U54="","Open",IF(U54&lt;Dashboard!$C$5,"Overdue","Open")))))</f>
        <v/>
      </c>
      <c r="Z54" s="26" t="str">
        <f aca="false">IF(OR(B54="",V54=""),"",V54-B54)</f>
        <v/>
      </c>
    </row>
  </sheetData>
  <conditionalFormatting sqref="Y5:Y54">
    <cfRule type="cellIs" priority="2" operator="equal" aboveAverage="0" equalAverage="0" bottom="0" percent="0" rank="0" text="" dxfId="0">
      <formula>"Closed"</formula>
    </cfRule>
    <cfRule type="cellIs" priority="3" operator="equal" aboveAverage="0" equalAverage="0" bottom="0" percent="0" rank="0" text="" dxfId="1">
      <formula>"Open"</formula>
    </cfRule>
    <cfRule type="cellIs" priority="4" operator="equal" aboveAverage="0" equalAverage="0" bottom="0" percent="0" rank="0" text="" dxfId="1">
      <formula>"CAPA not set"</formula>
    </cfRule>
    <cfRule type="cellIs" priority="5" operator="equal" aboveAverage="0" equalAverage="0" bottom="0" percent="0" rank="0" text="" dxfId="2">
      <formula>"Overdue"</formula>
    </cfRule>
  </conditionalFormatting>
  <conditionalFormatting sqref="K5:K54">
    <cfRule type="cellIs" priority="6" operator="equal" aboveAverage="0" equalAverage="0" bottom="0" percent="0" rank="0" text="" dxfId="0">
      <formula>"Minor spill"</formula>
    </cfRule>
    <cfRule type="cellIs" priority="7" operator="equal" aboveAverage="0" equalAverage="0" bottom="0" percent="0" rank="0" text="" dxfId="2">
      <formula>"Major spill"</formula>
    </cfRule>
    <cfRule type="cellIs" priority="8" operator="equal" aboveAverage="0" equalAverage="0" bottom="0" percent="0" rank="0" text="" dxfId="2">
      <formula>"Unknown spill"</formula>
    </cfRule>
    <cfRule type="cellIs" priority="9" operator="equal" aboveAverage="0" equalAverage="0" bottom="0" percent="0" rank="0" text="" dxfId="2">
      <formula>"Exposure incident"</formula>
    </cfRule>
    <cfRule type="cellIs" priority="10" operator="equal" aboveAverage="0" equalAverage="0" bottom="0" percent="0" rank="0" text="" dxfId="3">
      <formula>"High-risk spill"</formula>
    </cfRule>
  </conditionalFormatting>
  <dataValidations count="5">
    <dataValidation allowBlank="true" error="Please choose a value from the list." errorStyle="stop" errorTitle="Invalid entry" operator="between" showDropDown="false" showErrorMessage="false" showInputMessage="false" sqref="K5:K54" type="list">
      <formula1>Lists!$D$2:$D$6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M5:M54" type="list">
      <formula1>Lists!$E$2:$E$6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5:J54" type="list">
      <formula1>Lists!$H$2:$H$9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P5:P5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X5:X5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159</v>
      </c>
      <c r="B1" s="2"/>
      <c r="C1" s="2"/>
      <c r="D1" s="2"/>
    </row>
    <row r="2" customFormat="false" ht="15" hidden="false" customHeight="false" outlineLevel="0" collapsed="false">
      <c r="A2" s="3" t="s">
        <v>160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9" t="s">
        <v>161</v>
      </c>
      <c r="B4" s="10" t="s">
        <v>162</v>
      </c>
      <c r="C4" s="2"/>
      <c r="D4" s="2"/>
    </row>
    <row r="5" customFormat="false" ht="15" hidden="false" customHeight="false" outlineLevel="0" collapsed="false">
      <c r="A5" s="9" t="s">
        <v>163</v>
      </c>
      <c r="B5" s="28" t="str">
        <f aca="false">IFERROR(INDEX('Spill Incident Log'!G5:G54,MATCH(B4,'Spill Incident Log'!A5:A54,0))&amp;" – "&amp;INDEX('Spill Incident Log'!F5:F54,MATCH(B4,'Spill Incident Log'!A5:A54,0))&amp;" – "&amp;TEXT(INDEX('Spill Incident Log'!B5:B54,MATCH(B4,'Spill Incident Log'!A5:A54,0)),"dd-mmm-yyyy"),"Ref not found in Spill Incident Log")</f>
        <v>Acetone – Chemistry Lab 2 – 08-Sep-2026</v>
      </c>
      <c r="C5" s="28"/>
      <c r="D5" s="28"/>
    </row>
    <row r="6" customFormat="false" ht="15" hidden="false" customHeight="false" outlineLevel="0" collapsed="false">
      <c r="A6" s="2"/>
      <c r="B6" s="2"/>
      <c r="C6" s="2"/>
      <c r="D6" s="2"/>
    </row>
    <row r="7" customFormat="false" ht="31.5" hidden="false" customHeight="true" outlineLevel="0" collapsed="false">
      <c r="A7" s="13" t="s">
        <v>43</v>
      </c>
      <c r="B7" s="13" t="s">
        <v>164</v>
      </c>
      <c r="C7" s="13" t="s">
        <v>165</v>
      </c>
      <c r="D7" s="13" t="s">
        <v>166</v>
      </c>
    </row>
    <row r="8" customFormat="false" ht="15" hidden="false" customHeight="false" outlineLevel="0" collapsed="false">
      <c r="A8" s="14" t="n">
        <v>1</v>
      </c>
      <c r="B8" s="6" t="s">
        <v>167</v>
      </c>
      <c r="C8" s="27" t="s">
        <v>105</v>
      </c>
      <c r="D8" s="10"/>
    </row>
    <row r="9" customFormat="false" ht="15" hidden="false" customHeight="false" outlineLevel="0" collapsed="false">
      <c r="A9" s="14" t="n">
        <v>2</v>
      </c>
      <c r="B9" s="6" t="s">
        <v>168</v>
      </c>
      <c r="C9" s="27" t="s">
        <v>105</v>
      </c>
      <c r="D9" s="10"/>
    </row>
    <row r="10" customFormat="false" ht="15" hidden="false" customHeight="false" outlineLevel="0" collapsed="false">
      <c r="A10" s="14" t="n">
        <v>3</v>
      </c>
      <c r="B10" s="6" t="s">
        <v>169</v>
      </c>
      <c r="C10" s="27" t="s">
        <v>105</v>
      </c>
      <c r="D10" s="10"/>
    </row>
    <row r="11" customFormat="false" ht="26.85" hidden="false" customHeight="false" outlineLevel="0" collapsed="false">
      <c r="A11" s="14" t="n">
        <v>4</v>
      </c>
      <c r="B11" s="6" t="s">
        <v>170</v>
      </c>
      <c r="C11" s="27" t="s">
        <v>105</v>
      </c>
      <c r="D11" s="10"/>
    </row>
    <row r="12" customFormat="false" ht="15" hidden="false" customHeight="false" outlineLevel="0" collapsed="false">
      <c r="A12" s="14" t="n">
        <v>5</v>
      </c>
      <c r="B12" s="6" t="s">
        <v>171</v>
      </c>
      <c r="C12" s="27" t="s">
        <v>105</v>
      </c>
      <c r="D12" s="10"/>
    </row>
    <row r="13" customFormat="false" ht="15" hidden="false" customHeight="false" outlineLevel="0" collapsed="false">
      <c r="A13" s="14" t="n">
        <v>6</v>
      </c>
      <c r="B13" s="6" t="s">
        <v>172</v>
      </c>
      <c r="C13" s="27" t="s">
        <v>105</v>
      </c>
      <c r="D13" s="10"/>
    </row>
    <row r="14" customFormat="false" ht="15" hidden="false" customHeight="false" outlineLevel="0" collapsed="false">
      <c r="A14" s="14" t="n">
        <v>7</v>
      </c>
      <c r="B14" s="6" t="s">
        <v>173</v>
      </c>
      <c r="C14" s="27" t="s">
        <v>105</v>
      </c>
      <c r="D14" s="10"/>
    </row>
    <row r="15" customFormat="false" ht="15" hidden="false" customHeight="false" outlineLevel="0" collapsed="false">
      <c r="A15" s="14" t="n">
        <v>8</v>
      </c>
      <c r="B15" s="6" t="s">
        <v>174</v>
      </c>
      <c r="C15" s="27" t="s">
        <v>105</v>
      </c>
      <c r="D15" s="10"/>
    </row>
    <row r="16" customFormat="false" ht="15" hidden="false" customHeight="false" outlineLevel="0" collapsed="false">
      <c r="A16" s="14" t="n">
        <v>9</v>
      </c>
      <c r="B16" s="6" t="s">
        <v>175</v>
      </c>
      <c r="C16" s="27" t="s">
        <v>105</v>
      </c>
      <c r="D16" s="10"/>
    </row>
    <row r="17" customFormat="false" ht="15" hidden="false" customHeight="false" outlineLevel="0" collapsed="false">
      <c r="A17" s="2"/>
      <c r="B17" s="2"/>
      <c r="C17" s="2"/>
      <c r="D17" s="2"/>
    </row>
    <row r="18" customFormat="false" ht="15" hidden="false" customHeight="false" outlineLevel="0" collapsed="false">
      <c r="A18" s="2"/>
      <c r="B18" s="9" t="s">
        <v>176</v>
      </c>
      <c r="C18" s="19" t="str">
        <f aca="false">COUNTIF(C8:C16,"Yes")&amp;" / 9"</f>
        <v>9 / 9</v>
      </c>
      <c r="D18" s="2"/>
    </row>
    <row r="19" customFormat="false" ht="15" hidden="false" customHeight="false" outlineLevel="0" collapsed="false">
      <c r="A19" s="2"/>
      <c r="B19" s="9" t="s">
        <v>177</v>
      </c>
      <c r="C19" s="32" t="n">
        <f aca="false">COUNTIF(C8:C16,"Yes")/9</f>
        <v>1</v>
      </c>
      <c r="D19" s="2"/>
    </row>
    <row r="20" customFormat="false" ht="15" hidden="false" customHeight="false" outlineLevel="0" collapsed="false">
      <c r="A20" s="2"/>
      <c r="B20" s="9" t="s">
        <v>178</v>
      </c>
      <c r="C20" s="19" t="str">
        <f aca="false">IF(COUNTIF(C8:C16,"Yes")=9,"RELEASED FOR USE","RESTRICTED – do not re-enter")</f>
        <v>RELEASED FOR USE</v>
      </c>
      <c r="D20" s="19"/>
    </row>
  </sheetData>
  <mergeCells count="2">
    <mergeCell ref="B5:D5"/>
    <mergeCell ref="C20:D20"/>
  </mergeCells>
  <conditionalFormatting sqref="C8:C1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2">
      <formula>"No"</formula>
    </cfRule>
  </conditionalFormatting>
  <conditionalFormatting sqref="C20">
    <cfRule type="cellIs" priority="4" operator="equal" aboveAverage="0" equalAverage="0" bottom="0" percent="0" rank="0" text="" dxfId="0">
      <formula>"RELEASED FOR USE"</formula>
    </cfRule>
    <cfRule type="cellIs" priority="5" operator="equal" aboveAverage="0" equalAverage="0" bottom="0" percent="0" rank="0" text="" dxfId="2">
      <formula>"RESTRICTED – do not re-enter"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8:C16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28"/>
  </cols>
  <sheetData>
    <row r="1" customFormat="false" ht="19.7" hidden="false" customHeight="false" outlineLevel="0" collapsed="false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180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31.5" hidden="false" customHeight="true" outlineLevel="0" collapsed="false">
      <c r="A4" s="13" t="s">
        <v>181</v>
      </c>
      <c r="B4" s="13" t="s">
        <v>182</v>
      </c>
      <c r="C4" s="13" t="s">
        <v>183</v>
      </c>
      <c r="D4" s="13" t="s">
        <v>184</v>
      </c>
      <c r="E4" s="13" t="s">
        <v>185</v>
      </c>
      <c r="F4" s="13" t="s">
        <v>186</v>
      </c>
      <c r="G4" s="13" t="s">
        <v>187</v>
      </c>
      <c r="H4" s="13" t="s">
        <v>188</v>
      </c>
      <c r="I4" s="13" t="s">
        <v>189</v>
      </c>
      <c r="J4" s="13" t="s">
        <v>190</v>
      </c>
      <c r="K4" s="13" t="s">
        <v>191</v>
      </c>
      <c r="L4" s="13" t="s">
        <v>192</v>
      </c>
      <c r="M4" s="13" t="s">
        <v>193</v>
      </c>
      <c r="N4" s="13" t="s">
        <v>194</v>
      </c>
    </row>
    <row r="5" customFormat="false" ht="26.85" hidden="false" customHeight="false" outlineLevel="0" collapsed="false">
      <c r="A5" s="10" t="s">
        <v>195</v>
      </c>
      <c r="B5" s="10" t="s">
        <v>146</v>
      </c>
      <c r="C5" s="10" t="s">
        <v>196</v>
      </c>
      <c r="D5" s="10" t="s">
        <v>197</v>
      </c>
      <c r="E5" s="10" t="s">
        <v>198</v>
      </c>
      <c r="F5" s="10" t="s">
        <v>199</v>
      </c>
      <c r="G5" s="27" t="n">
        <v>2.5</v>
      </c>
      <c r="H5" s="27" t="s">
        <v>200</v>
      </c>
      <c r="I5" s="27" t="s">
        <v>105</v>
      </c>
      <c r="J5" s="27" t="s">
        <v>105</v>
      </c>
      <c r="K5" s="27" t="s">
        <v>105</v>
      </c>
      <c r="L5" s="27" t="s">
        <v>105</v>
      </c>
      <c r="M5" s="19" t="str">
        <f aca="false">IF(B5="","",IF(AND(OR(I5="No",J5="Yes"),K5="Yes",L5="Yes"),"Compliant",IF(OR(J5="",K5="",L5=""),"Incomplete","Action needed")))</f>
        <v>Compliant</v>
      </c>
      <c r="N5" s="10"/>
    </row>
    <row r="6" customFormat="false" ht="15" hidden="false" customHeight="false" outlineLevel="0" collapsed="false">
      <c r="A6" s="10" t="s">
        <v>201</v>
      </c>
      <c r="B6" s="10" t="s">
        <v>202</v>
      </c>
      <c r="C6" s="10" t="s">
        <v>203</v>
      </c>
      <c r="D6" s="10" t="s">
        <v>204</v>
      </c>
      <c r="E6" s="10" t="s">
        <v>205</v>
      </c>
      <c r="F6" s="10" t="s">
        <v>206</v>
      </c>
      <c r="G6" s="27" t="n">
        <v>2</v>
      </c>
      <c r="H6" s="27" t="s">
        <v>200</v>
      </c>
      <c r="I6" s="27" t="s">
        <v>105</v>
      </c>
      <c r="J6" s="27" t="s">
        <v>105</v>
      </c>
      <c r="K6" s="27" t="s">
        <v>105</v>
      </c>
      <c r="L6" s="27" t="s">
        <v>105</v>
      </c>
      <c r="M6" s="19" t="str">
        <f aca="false">IF(B6="","",IF(AND(OR(I6="No",J6="Yes"),K6="Yes",L6="Yes"),"Compliant",IF(OR(J6="",K6="",L6=""),"Incomplete","Action needed")))</f>
        <v>Compliant</v>
      </c>
      <c r="N6" s="10"/>
    </row>
    <row r="7" customFormat="false" ht="15" hidden="false" customHeight="false" outlineLevel="0" collapsed="false">
      <c r="A7" s="10" t="s">
        <v>207</v>
      </c>
      <c r="B7" s="10" t="s">
        <v>208</v>
      </c>
      <c r="C7" s="10" t="s">
        <v>209</v>
      </c>
      <c r="D7" s="10" t="s">
        <v>204</v>
      </c>
      <c r="E7" s="10" t="s">
        <v>210</v>
      </c>
      <c r="F7" s="10" t="s">
        <v>211</v>
      </c>
      <c r="G7" s="27" t="n">
        <v>1</v>
      </c>
      <c r="H7" s="27" t="s">
        <v>212</v>
      </c>
      <c r="I7" s="27" t="s">
        <v>105</v>
      </c>
      <c r="J7" s="27" t="s">
        <v>105</v>
      </c>
      <c r="K7" s="27" t="s">
        <v>107</v>
      </c>
      <c r="L7" s="27" t="s">
        <v>105</v>
      </c>
      <c r="M7" s="19" t="str">
        <f aca="false">IF(B7="","",IF(AND(OR(I7="No",J7="Yes"),K7="Yes",L7="Yes"),"Compliant",IF(OR(J7="",K7="",L7=""),"Incomplete","Action needed")))</f>
        <v>Action needed</v>
      </c>
      <c r="N7" s="10" t="s">
        <v>213</v>
      </c>
    </row>
    <row r="8" customFormat="false" ht="15" hidden="false" customHeight="false" outlineLevel="0" collapsed="false">
      <c r="A8" s="10" t="s">
        <v>214</v>
      </c>
      <c r="B8" s="10" t="s">
        <v>215</v>
      </c>
      <c r="C8" s="10" t="s">
        <v>216</v>
      </c>
      <c r="D8" s="10" t="s">
        <v>217</v>
      </c>
      <c r="E8" s="10" t="s">
        <v>210</v>
      </c>
      <c r="F8" s="10" t="s">
        <v>218</v>
      </c>
      <c r="G8" s="27" t="n">
        <v>0.5</v>
      </c>
      <c r="H8" s="27" t="s">
        <v>212</v>
      </c>
      <c r="I8" s="27" t="s">
        <v>105</v>
      </c>
      <c r="J8" s="27" t="s">
        <v>107</v>
      </c>
      <c r="K8" s="27" t="s">
        <v>105</v>
      </c>
      <c r="L8" s="27" t="s">
        <v>105</v>
      </c>
      <c r="M8" s="19" t="str">
        <f aca="false">IF(B8="","",IF(AND(OR(I8="No",J8="Yes"),K8="Yes",L8="Yes"),"Compliant",IF(OR(J8="",K8="",L8=""),"Incomplete","Action needed")))</f>
        <v>Action needed</v>
      </c>
      <c r="N8" s="10" t="s">
        <v>219</v>
      </c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27"/>
      <c r="H9" s="27"/>
      <c r="I9" s="27"/>
      <c r="J9" s="27"/>
      <c r="K9" s="27"/>
      <c r="L9" s="27"/>
      <c r="M9" s="19" t="str">
        <f aca="false">IF(B9="","",IF(AND(OR(I9="No",J9="Yes"),K9="Yes",L9="Yes"),"Compliant",IF(OR(J9="",K9="",L9=""),"Incomplete","Action needed")))</f>
        <v/>
      </c>
      <c r="N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27"/>
      <c r="H10" s="27"/>
      <c r="I10" s="27"/>
      <c r="J10" s="27"/>
      <c r="K10" s="27"/>
      <c r="L10" s="27"/>
      <c r="M10" s="19" t="str">
        <f aca="false">IF(B10="","",IF(AND(OR(I10="No",J10="Yes"),K10="Yes",L10="Yes"),"Compliant",IF(OR(J10="",K10="",L10=""),"Incomplete","Action needed")))</f>
        <v/>
      </c>
      <c r="N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27"/>
      <c r="H11" s="27"/>
      <c r="I11" s="27"/>
      <c r="J11" s="27"/>
      <c r="K11" s="27"/>
      <c r="L11" s="27"/>
      <c r="M11" s="19" t="str">
        <f aca="false">IF(B11="","",IF(AND(OR(I11="No",J11="Yes"),K11="Yes",L11="Yes"),"Compliant",IF(OR(J11="",K11="",L11=""),"Incomplete","Action needed")))</f>
        <v/>
      </c>
      <c r="N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27"/>
      <c r="H12" s="27"/>
      <c r="I12" s="27"/>
      <c r="J12" s="27"/>
      <c r="K12" s="27"/>
      <c r="L12" s="27"/>
      <c r="M12" s="19" t="str">
        <f aca="false">IF(B12="","",IF(AND(OR(I12="No",J12="Yes"),K12="Yes",L12="Yes"),"Compliant",IF(OR(J12="",K12="",L12=""),"Incomplete","Action needed")))</f>
        <v/>
      </c>
      <c r="N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27"/>
      <c r="H13" s="27"/>
      <c r="I13" s="27"/>
      <c r="J13" s="27"/>
      <c r="K13" s="27"/>
      <c r="L13" s="27"/>
      <c r="M13" s="19" t="str">
        <f aca="false">IF(B13="","",IF(AND(OR(I13="No",J13="Yes"),K13="Yes",L13="Yes"),"Compliant",IF(OR(J13="",K13="",L13=""),"Incomplete","Action needed")))</f>
        <v/>
      </c>
      <c r="N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27"/>
      <c r="H14" s="27"/>
      <c r="I14" s="27"/>
      <c r="J14" s="27"/>
      <c r="K14" s="27"/>
      <c r="L14" s="27"/>
      <c r="M14" s="19" t="str">
        <f aca="false">IF(B14="","",IF(AND(OR(I14="No",J14="Yes"),K14="Yes",L14="Yes"),"Compliant",IF(OR(J14="",K14="",L14=""),"Incomplete","Action needed")))</f>
        <v/>
      </c>
      <c r="N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27"/>
      <c r="H15" s="27"/>
      <c r="I15" s="27"/>
      <c r="J15" s="27"/>
      <c r="K15" s="27"/>
      <c r="L15" s="27"/>
      <c r="M15" s="19" t="str">
        <f aca="false">IF(B15="","",IF(AND(OR(I15="No",J15="Yes"),K15="Yes",L15="Yes"),"Compliant",IF(OR(J15="",K15="",L15=""),"Incomplete","Action needed")))</f>
        <v/>
      </c>
      <c r="N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27"/>
      <c r="H16" s="27"/>
      <c r="I16" s="27"/>
      <c r="J16" s="27"/>
      <c r="K16" s="27"/>
      <c r="L16" s="27"/>
      <c r="M16" s="19" t="str">
        <f aca="false">IF(B16="","",IF(AND(OR(I16="No",J16="Yes"),K16="Yes",L16="Yes"),"Compliant",IF(OR(J16="",K16="",L16=""),"Incomplete","Action needed")))</f>
        <v/>
      </c>
      <c r="N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27"/>
      <c r="H17" s="27"/>
      <c r="I17" s="27"/>
      <c r="J17" s="27"/>
      <c r="K17" s="27"/>
      <c r="L17" s="27"/>
      <c r="M17" s="19" t="str">
        <f aca="false">IF(B17="","",IF(AND(OR(I17="No",J17="Yes"),K17="Yes",L17="Yes"),"Compliant",IF(OR(J17="",K17="",L17=""),"Incomplete","Action needed")))</f>
        <v/>
      </c>
      <c r="N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27"/>
      <c r="H18" s="27"/>
      <c r="I18" s="27"/>
      <c r="J18" s="27"/>
      <c r="K18" s="27"/>
      <c r="L18" s="27"/>
      <c r="M18" s="19" t="str">
        <f aca="false">IF(B18="","",IF(AND(OR(I18="No",J18="Yes"),K18="Yes",L18="Yes"),"Compliant",IF(OR(J18="",K18="",L18=""),"Incomplete","Action needed")))</f>
        <v/>
      </c>
      <c r="N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27"/>
      <c r="H19" s="27"/>
      <c r="I19" s="27"/>
      <c r="J19" s="27"/>
      <c r="K19" s="27"/>
      <c r="L19" s="27"/>
      <c r="M19" s="19" t="str">
        <f aca="false">IF(B19="","",IF(AND(OR(I19="No",J19="Yes"),K19="Yes",L19="Yes"),"Compliant",IF(OR(J19="",K19="",L19=""),"Incomplete","Action needed")))</f>
        <v/>
      </c>
      <c r="N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27"/>
      <c r="H20" s="27"/>
      <c r="I20" s="27"/>
      <c r="J20" s="27"/>
      <c r="K20" s="27"/>
      <c r="L20" s="27"/>
      <c r="M20" s="19" t="str">
        <f aca="false">IF(B20="","",IF(AND(OR(I20="No",J20="Yes"),K20="Yes",L20="Yes"),"Compliant",IF(OR(J20="",K20="",L20=""),"Incomplete","Action needed")))</f>
        <v/>
      </c>
      <c r="N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27"/>
      <c r="H21" s="27"/>
      <c r="I21" s="27"/>
      <c r="J21" s="27"/>
      <c r="K21" s="27"/>
      <c r="L21" s="27"/>
      <c r="M21" s="19" t="str">
        <f aca="false">IF(B21="","",IF(AND(OR(I21="No",J21="Yes"),K21="Yes",L21="Yes"),"Compliant",IF(OR(J21="",K21="",L21=""),"Incomplete","Action needed")))</f>
        <v/>
      </c>
      <c r="N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27"/>
      <c r="H22" s="27"/>
      <c r="I22" s="27"/>
      <c r="J22" s="27"/>
      <c r="K22" s="27"/>
      <c r="L22" s="27"/>
      <c r="M22" s="19" t="str">
        <f aca="false">IF(B22="","",IF(AND(OR(I22="No",J22="Yes"),K22="Yes",L22="Yes"),"Compliant",IF(OR(J22="",K22="",L22=""),"Incomplete","Action needed")))</f>
        <v/>
      </c>
      <c r="N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27"/>
      <c r="H23" s="27"/>
      <c r="I23" s="27"/>
      <c r="J23" s="27"/>
      <c r="K23" s="27"/>
      <c r="L23" s="27"/>
      <c r="M23" s="19" t="str">
        <f aca="false">IF(B23="","",IF(AND(OR(I23="No",J23="Yes"),K23="Yes",L23="Yes"),"Compliant",IF(OR(J23="",K23="",L23=""),"Incomplete","Action needed")))</f>
        <v/>
      </c>
      <c r="N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27"/>
      <c r="H24" s="27"/>
      <c r="I24" s="27"/>
      <c r="J24" s="27"/>
      <c r="K24" s="27"/>
      <c r="L24" s="27"/>
      <c r="M24" s="19" t="str">
        <f aca="false">IF(B24="","",IF(AND(OR(I24="No",J24="Yes"),K24="Yes",L24="Yes"),"Compliant",IF(OR(J24="",K24="",L24=""),"Incomplete","Action needed")))</f>
        <v/>
      </c>
      <c r="N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27"/>
      <c r="H25" s="27"/>
      <c r="I25" s="27"/>
      <c r="J25" s="27"/>
      <c r="K25" s="27"/>
      <c r="L25" s="27"/>
      <c r="M25" s="19" t="str">
        <f aca="false">IF(B25="","",IF(AND(OR(I25="No",J25="Yes"),K25="Yes",L25="Yes"),"Compliant",IF(OR(J25="",K25="",L25=""),"Incomplete","Action needed")))</f>
        <v/>
      </c>
      <c r="N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27"/>
      <c r="H26" s="27"/>
      <c r="I26" s="27"/>
      <c r="J26" s="27"/>
      <c r="K26" s="27"/>
      <c r="L26" s="27"/>
      <c r="M26" s="19" t="str">
        <f aca="false">IF(B26="","",IF(AND(OR(I26="No",J26="Yes"),K26="Yes",L26="Yes"),"Compliant",IF(OR(J26="",K26="",L26=""),"Incomplete","Action needed")))</f>
        <v/>
      </c>
      <c r="N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27"/>
      <c r="H27" s="27"/>
      <c r="I27" s="27"/>
      <c r="J27" s="27"/>
      <c r="K27" s="27"/>
      <c r="L27" s="27"/>
      <c r="M27" s="19" t="str">
        <f aca="false">IF(B27="","",IF(AND(OR(I27="No",J27="Yes"),K27="Yes",L27="Yes"),"Compliant",IF(OR(J27="",K27="",L27=""),"Incomplete","Action needed")))</f>
        <v/>
      </c>
      <c r="N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27"/>
      <c r="H28" s="27"/>
      <c r="I28" s="27"/>
      <c r="J28" s="27"/>
      <c r="K28" s="27"/>
      <c r="L28" s="27"/>
      <c r="M28" s="19" t="str">
        <f aca="false">IF(B28="","",IF(AND(OR(I28="No",J28="Yes"),K28="Yes",L28="Yes"),"Compliant",IF(OR(J28="",K28="",L28=""),"Incomplete","Action needed")))</f>
        <v/>
      </c>
      <c r="N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27"/>
      <c r="H29" s="27"/>
      <c r="I29" s="27"/>
      <c r="J29" s="27"/>
      <c r="K29" s="27"/>
      <c r="L29" s="27"/>
      <c r="M29" s="19" t="str">
        <f aca="false">IF(B29="","",IF(AND(OR(I29="No",J29="Yes"),K29="Yes",L29="Yes"),"Compliant",IF(OR(J29="",K29="",L29=""),"Incomplete","Action needed")))</f>
        <v/>
      </c>
      <c r="N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27"/>
      <c r="H30" s="27"/>
      <c r="I30" s="27"/>
      <c r="J30" s="27"/>
      <c r="K30" s="27"/>
      <c r="L30" s="27"/>
      <c r="M30" s="19" t="str">
        <f aca="false">IF(B30="","",IF(AND(OR(I30="No",J30="Yes"),K30="Yes",L30="Yes"),"Compliant",IF(OR(J30="",K30="",L30=""),"Incomplete","Action needed")))</f>
        <v/>
      </c>
      <c r="N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27"/>
      <c r="H31" s="27"/>
      <c r="I31" s="27"/>
      <c r="J31" s="27"/>
      <c r="K31" s="27"/>
      <c r="L31" s="27"/>
      <c r="M31" s="19" t="str">
        <f aca="false">IF(B31="","",IF(AND(OR(I31="No",J31="Yes"),K31="Yes",L31="Yes"),"Compliant",IF(OR(J31="",K31="",L31=""),"Incomplete","Action needed")))</f>
        <v/>
      </c>
      <c r="N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27"/>
      <c r="H32" s="27"/>
      <c r="I32" s="27"/>
      <c r="J32" s="27"/>
      <c r="K32" s="27"/>
      <c r="L32" s="27"/>
      <c r="M32" s="19" t="str">
        <f aca="false">IF(B32="","",IF(AND(OR(I32="No",J32="Yes"),K32="Yes",L32="Yes"),"Compliant",IF(OR(J32="",K32="",L32=""),"Incomplete","Action needed")))</f>
        <v/>
      </c>
      <c r="N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27"/>
      <c r="H33" s="27"/>
      <c r="I33" s="27"/>
      <c r="J33" s="27"/>
      <c r="K33" s="27"/>
      <c r="L33" s="27"/>
      <c r="M33" s="19" t="str">
        <f aca="false">IF(B33="","",IF(AND(OR(I33="No",J33="Yes"),K33="Yes",L33="Yes"),"Compliant",IF(OR(J33="",K33="",L33=""),"Incomplete","Action needed")))</f>
        <v/>
      </c>
      <c r="N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27"/>
      <c r="H34" s="27"/>
      <c r="I34" s="27"/>
      <c r="J34" s="27"/>
      <c r="K34" s="27"/>
      <c r="L34" s="27"/>
      <c r="M34" s="19" t="str">
        <f aca="false">IF(B34="","",IF(AND(OR(I34="No",J34="Yes"),K34="Yes",L34="Yes"),"Compliant",IF(OR(J34="",K34="",L34=""),"Incomplete","Action needed")))</f>
        <v/>
      </c>
      <c r="N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27"/>
      <c r="H35" s="27"/>
      <c r="I35" s="27"/>
      <c r="J35" s="27"/>
      <c r="K35" s="27"/>
      <c r="L35" s="27"/>
      <c r="M35" s="19" t="str">
        <f aca="false">IF(B35="","",IF(AND(OR(I35="No",J35="Yes"),K35="Yes",L35="Yes"),"Compliant",IF(OR(J35="",K35="",L35=""),"Incomplete","Action needed")))</f>
        <v/>
      </c>
      <c r="N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27"/>
      <c r="H36" s="27"/>
      <c r="I36" s="27"/>
      <c r="J36" s="27"/>
      <c r="K36" s="27"/>
      <c r="L36" s="27"/>
      <c r="M36" s="19" t="str">
        <f aca="false">IF(B36="","",IF(AND(OR(I36="No",J36="Yes"),K36="Yes",L36="Yes"),"Compliant",IF(OR(J36="",K36="",L36=""),"Incomplete","Action needed")))</f>
        <v/>
      </c>
      <c r="N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27"/>
      <c r="H37" s="27"/>
      <c r="I37" s="27"/>
      <c r="J37" s="27"/>
      <c r="K37" s="27"/>
      <c r="L37" s="27"/>
      <c r="M37" s="19" t="str">
        <f aca="false">IF(B37="","",IF(AND(OR(I37="No",J37="Yes"),K37="Yes",L37="Yes"),"Compliant",IF(OR(J37="",K37="",L37=""),"Incomplete","Action needed")))</f>
        <v/>
      </c>
      <c r="N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27"/>
      <c r="H38" s="27"/>
      <c r="I38" s="27"/>
      <c r="J38" s="27"/>
      <c r="K38" s="27"/>
      <c r="L38" s="27"/>
      <c r="M38" s="19" t="str">
        <f aca="false">IF(B38="","",IF(AND(OR(I38="No",J38="Yes"),K38="Yes",L38="Yes"),"Compliant",IF(OR(J38="",K38="",L38=""),"Incomplete","Action needed")))</f>
        <v/>
      </c>
      <c r="N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27"/>
      <c r="H39" s="27"/>
      <c r="I39" s="27"/>
      <c r="J39" s="27"/>
      <c r="K39" s="27"/>
      <c r="L39" s="27"/>
      <c r="M39" s="19" t="str">
        <f aca="false">IF(B39="","",IF(AND(OR(I39="No",J39="Yes"),K39="Yes",L39="Yes"),"Compliant",IF(OR(J39="",K39="",L39=""),"Incomplete","Action needed")))</f>
        <v/>
      </c>
      <c r="N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27"/>
      <c r="H40" s="27"/>
      <c r="I40" s="27"/>
      <c r="J40" s="27"/>
      <c r="K40" s="27"/>
      <c r="L40" s="27"/>
      <c r="M40" s="19" t="str">
        <f aca="false">IF(B40="","",IF(AND(OR(I40="No",J40="Yes"),K40="Yes",L40="Yes"),"Compliant",IF(OR(J40="",K40="",L40=""),"Incomplete","Action needed")))</f>
        <v/>
      </c>
      <c r="N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27"/>
      <c r="H41" s="27"/>
      <c r="I41" s="27"/>
      <c r="J41" s="27"/>
      <c r="K41" s="27"/>
      <c r="L41" s="27"/>
      <c r="M41" s="19" t="str">
        <f aca="false">IF(B41="","",IF(AND(OR(I41="No",J41="Yes"),K41="Yes",L41="Yes"),"Compliant",IF(OR(J41="",K41="",L41=""),"Incomplete","Action needed")))</f>
        <v/>
      </c>
      <c r="N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27"/>
      <c r="H42" s="27"/>
      <c r="I42" s="27"/>
      <c r="J42" s="27"/>
      <c r="K42" s="27"/>
      <c r="L42" s="27"/>
      <c r="M42" s="19" t="str">
        <f aca="false">IF(B42="","",IF(AND(OR(I42="No",J42="Yes"),K42="Yes",L42="Yes"),"Compliant",IF(OR(J42="",K42="",L42=""),"Incomplete","Action needed")))</f>
        <v/>
      </c>
      <c r="N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27"/>
      <c r="H43" s="27"/>
      <c r="I43" s="27"/>
      <c r="J43" s="27"/>
      <c r="K43" s="27"/>
      <c r="L43" s="27"/>
      <c r="M43" s="19" t="str">
        <f aca="false">IF(B43="","",IF(AND(OR(I43="No",J43="Yes"),K43="Yes",L43="Yes"),"Compliant",IF(OR(J43="",K43="",L43=""),"Incomplete","Action needed")))</f>
        <v/>
      </c>
      <c r="N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27"/>
      <c r="H44" s="27"/>
      <c r="I44" s="27"/>
      <c r="J44" s="27"/>
      <c r="K44" s="27"/>
      <c r="L44" s="27"/>
      <c r="M44" s="19" t="str">
        <f aca="false">IF(B44="","",IF(AND(OR(I44="No",J44="Yes"),K44="Yes",L44="Yes"),"Compliant",IF(OR(J44="",K44="",L44=""),"Incomplete","Action needed")))</f>
        <v/>
      </c>
      <c r="N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27"/>
      <c r="H45" s="27"/>
      <c r="I45" s="27"/>
      <c r="J45" s="27"/>
      <c r="K45" s="27"/>
      <c r="L45" s="27"/>
      <c r="M45" s="19" t="str">
        <f aca="false">IF(B45="","",IF(AND(OR(I45="No",J45="Yes"),K45="Yes",L45="Yes"),"Compliant",IF(OR(J45="",K45="",L45=""),"Incomplete","Action needed")))</f>
        <v/>
      </c>
      <c r="N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27"/>
      <c r="H46" s="27"/>
      <c r="I46" s="27"/>
      <c r="J46" s="27"/>
      <c r="K46" s="27"/>
      <c r="L46" s="27"/>
      <c r="M46" s="19" t="str">
        <f aca="false">IF(B46="","",IF(AND(OR(I46="No",J46="Yes"),K46="Yes",L46="Yes"),"Compliant",IF(OR(J46="",K46="",L46=""),"Incomplete","Action needed")))</f>
        <v/>
      </c>
      <c r="N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27"/>
      <c r="H47" s="27"/>
      <c r="I47" s="27"/>
      <c r="J47" s="27"/>
      <c r="K47" s="27"/>
      <c r="L47" s="27"/>
      <c r="M47" s="19" t="str">
        <f aca="false">IF(B47="","",IF(AND(OR(I47="No",J47="Yes"),K47="Yes",L47="Yes"),"Compliant",IF(OR(J47="",K47="",L47=""),"Incomplete","Action needed")))</f>
        <v/>
      </c>
      <c r="N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27"/>
      <c r="H48" s="27"/>
      <c r="I48" s="27"/>
      <c r="J48" s="27"/>
      <c r="K48" s="27"/>
      <c r="L48" s="27"/>
      <c r="M48" s="19" t="str">
        <f aca="false">IF(B48="","",IF(AND(OR(I48="No",J48="Yes"),K48="Yes",L48="Yes"),"Compliant",IF(OR(J48="",K48="",L48=""),"Incomplete","Action needed")))</f>
        <v/>
      </c>
      <c r="N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27"/>
      <c r="H49" s="27"/>
      <c r="I49" s="27"/>
      <c r="J49" s="27"/>
      <c r="K49" s="27"/>
      <c r="L49" s="27"/>
      <c r="M49" s="19" t="str">
        <f aca="false">IF(B49="","",IF(AND(OR(I49="No",J49="Yes"),K49="Yes",L49="Yes"),"Compliant",IF(OR(J49="",K49="",L49=""),"Incomplete","Action needed")))</f>
        <v/>
      </c>
      <c r="N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27"/>
      <c r="H50" s="27"/>
      <c r="I50" s="27"/>
      <c r="J50" s="27"/>
      <c r="K50" s="27"/>
      <c r="L50" s="27"/>
      <c r="M50" s="19" t="str">
        <f aca="false">IF(B50="","",IF(AND(OR(I50="No",J50="Yes"),K50="Yes",L50="Yes"),"Compliant",IF(OR(J50="",K50="",L50=""),"Incomplete","Action needed")))</f>
        <v/>
      </c>
      <c r="N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27"/>
      <c r="H51" s="27"/>
      <c r="I51" s="27"/>
      <c r="J51" s="27"/>
      <c r="K51" s="27"/>
      <c r="L51" s="27"/>
      <c r="M51" s="19" t="str">
        <f aca="false">IF(B51="","",IF(AND(OR(I51="No",J51="Yes"),K51="Yes",L51="Yes"),"Compliant",IF(OR(J51="",K51="",L51=""),"Incomplete","Action needed")))</f>
        <v/>
      </c>
      <c r="N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27"/>
      <c r="H52" s="27"/>
      <c r="I52" s="27"/>
      <c r="J52" s="27"/>
      <c r="K52" s="27"/>
      <c r="L52" s="27"/>
      <c r="M52" s="19" t="str">
        <f aca="false">IF(B52="","",IF(AND(OR(I52="No",J52="Yes"),K52="Yes",L52="Yes"),"Compliant",IF(OR(J52="",K52="",L52=""),"Incomplete","Action needed")))</f>
        <v/>
      </c>
      <c r="N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27"/>
      <c r="H53" s="27"/>
      <c r="I53" s="27"/>
      <c r="J53" s="27"/>
      <c r="K53" s="27"/>
      <c r="L53" s="27"/>
      <c r="M53" s="19" t="str">
        <f aca="false">IF(B53="","",IF(AND(OR(I53="No",J53="Yes"),K53="Yes",L53="Yes"),"Compliant",IF(OR(J53="",K53="",L53=""),"Incomplete","Action needed")))</f>
        <v/>
      </c>
      <c r="N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27"/>
      <c r="H54" s="27"/>
      <c r="I54" s="27"/>
      <c r="J54" s="27"/>
      <c r="K54" s="27"/>
      <c r="L54" s="27"/>
      <c r="M54" s="19" t="str">
        <f aca="false">IF(B54="","",IF(AND(OR(I54="No",J54="Yes"),K54="Yes",L54="Yes"),"Compliant",IF(OR(J54="",K54="",L54=""),"Incomplete","Action needed")))</f>
        <v/>
      </c>
      <c r="N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27"/>
      <c r="H55" s="27"/>
      <c r="I55" s="27"/>
      <c r="J55" s="27"/>
      <c r="K55" s="27"/>
      <c r="L55" s="27"/>
      <c r="M55" s="19" t="str">
        <f aca="false">IF(B55="","",IF(AND(OR(I55="No",J55="Yes"),K55="Yes",L55="Yes"),"Compliant",IF(OR(J55="",K55="",L55=""),"Incomplete","Action needed")))</f>
        <v/>
      </c>
      <c r="N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27"/>
      <c r="H56" s="27"/>
      <c r="I56" s="27"/>
      <c r="J56" s="27"/>
      <c r="K56" s="27"/>
      <c r="L56" s="27"/>
      <c r="M56" s="19" t="str">
        <f aca="false">IF(B56="","",IF(AND(OR(I56="No",J56="Yes"),K56="Yes",L56="Yes"),"Compliant",IF(OR(J56="",K56="",L56=""),"Incomplete","Action needed")))</f>
        <v/>
      </c>
      <c r="N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27"/>
      <c r="H57" s="27"/>
      <c r="I57" s="27"/>
      <c r="J57" s="27"/>
      <c r="K57" s="27"/>
      <c r="L57" s="27"/>
      <c r="M57" s="19" t="str">
        <f aca="false">IF(B57="","",IF(AND(OR(I57="No",J57="Yes"),K57="Yes",L57="Yes"),"Compliant",IF(OR(J57="",K57="",L57=""),"Incomplete","Action needed")))</f>
        <v/>
      </c>
      <c r="N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27"/>
      <c r="H58" s="27"/>
      <c r="I58" s="27"/>
      <c r="J58" s="27"/>
      <c r="K58" s="27"/>
      <c r="L58" s="27"/>
      <c r="M58" s="19" t="str">
        <f aca="false">IF(B58="","",IF(AND(OR(I58="No",J58="Yes"),K58="Yes",L58="Yes"),"Compliant",IF(OR(J58="",K58="",L58=""),"Incomplete","Action needed")))</f>
        <v/>
      </c>
      <c r="N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27"/>
      <c r="H59" s="27"/>
      <c r="I59" s="27"/>
      <c r="J59" s="27"/>
      <c r="K59" s="27"/>
      <c r="L59" s="27"/>
      <c r="M59" s="19" t="str">
        <f aca="false">IF(B59="","",IF(AND(OR(I59="No",J59="Yes"),K59="Yes",L59="Yes"),"Compliant",IF(OR(J59="",K59="",L59=""),"Incomplete","Action needed")))</f>
        <v/>
      </c>
      <c r="N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27"/>
      <c r="H60" s="27"/>
      <c r="I60" s="27"/>
      <c r="J60" s="27"/>
      <c r="K60" s="27"/>
      <c r="L60" s="27"/>
      <c r="M60" s="19" t="str">
        <f aca="false">IF(B60="","",IF(AND(OR(I60="No",J60="Yes"),K60="Yes",L60="Yes"),"Compliant",IF(OR(J60="",K60="",L60=""),"Incomplete","Action needed")))</f>
        <v/>
      </c>
      <c r="N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27"/>
      <c r="H61" s="27"/>
      <c r="I61" s="27"/>
      <c r="J61" s="27"/>
      <c r="K61" s="27"/>
      <c r="L61" s="27"/>
      <c r="M61" s="19" t="str">
        <f aca="false">IF(B61="","",IF(AND(OR(I61="No",J61="Yes"),K61="Yes",L61="Yes"),"Compliant",IF(OR(J61="",K61="",L61=""),"Incomplete","Action needed")))</f>
        <v/>
      </c>
      <c r="N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27"/>
      <c r="H62" s="27"/>
      <c r="I62" s="27"/>
      <c r="J62" s="27"/>
      <c r="K62" s="27"/>
      <c r="L62" s="27"/>
      <c r="M62" s="19" t="str">
        <f aca="false">IF(B62="","",IF(AND(OR(I62="No",J62="Yes"),K62="Yes",L62="Yes"),"Compliant",IF(OR(J62="",K62="",L62=""),"Incomplete","Action needed")))</f>
        <v/>
      </c>
      <c r="N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27"/>
      <c r="H63" s="27"/>
      <c r="I63" s="27"/>
      <c r="J63" s="27"/>
      <c r="K63" s="27"/>
      <c r="L63" s="27"/>
      <c r="M63" s="19" t="str">
        <f aca="false">IF(B63="","",IF(AND(OR(I63="No",J63="Yes"),K63="Yes",L63="Yes"),"Compliant",IF(OR(J63="",K63="",L63=""),"Incomplete","Action needed")))</f>
        <v/>
      </c>
      <c r="N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27"/>
      <c r="H64" s="27"/>
      <c r="I64" s="27"/>
      <c r="J64" s="27"/>
      <c r="K64" s="27"/>
      <c r="L64" s="27"/>
      <c r="M64" s="19" t="str">
        <f aca="false">IF(B64="","",IF(AND(OR(I64="No",J64="Yes"),K64="Yes",L64="Yes"),"Compliant",IF(OR(J64="",K64="",L64=""),"Incomplete","Action needed")))</f>
        <v/>
      </c>
      <c r="N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27"/>
      <c r="H65" s="27"/>
      <c r="I65" s="27"/>
      <c r="J65" s="27"/>
      <c r="K65" s="27"/>
      <c r="L65" s="27"/>
      <c r="M65" s="19" t="str">
        <f aca="false">IF(B65="","",IF(AND(OR(I65="No",J65="Yes"),K65="Yes",L65="Yes"),"Compliant",IF(OR(J65="",K65="",L65=""),"Incomplete","Action needed")))</f>
        <v/>
      </c>
      <c r="N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27"/>
      <c r="H66" s="27"/>
      <c r="I66" s="27"/>
      <c r="J66" s="27"/>
      <c r="K66" s="27"/>
      <c r="L66" s="27"/>
      <c r="M66" s="19" t="str">
        <f aca="false">IF(B66="","",IF(AND(OR(I66="No",J66="Yes"),K66="Yes",L66="Yes"),"Compliant",IF(OR(J66="",K66="",L66=""),"Incomplete","Action needed")))</f>
        <v/>
      </c>
      <c r="N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27"/>
      <c r="H67" s="27"/>
      <c r="I67" s="27"/>
      <c r="J67" s="27"/>
      <c r="K67" s="27"/>
      <c r="L67" s="27"/>
      <c r="M67" s="19" t="str">
        <f aca="false">IF(B67="","",IF(AND(OR(I67="No",J67="Yes"),K67="Yes",L67="Yes"),"Compliant",IF(OR(J67="",K67="",L67=""),"Incomplete","Action needed")))</f>
        <v/>
      </c>
      <c r="N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27"/>
      <c r="H68" s="27"/>
      <c r="I68" s="27"/>
      <c r="J68" s="27"/>
      <c r="K68" s="27"/>
      <c r="L68" s="27"/>
      <c r="M68" s="19" t="str">
        <f aca="false">IF(B68="","",IF(AND(OR(I68="No",J68="Yes"),K68="Yes",L68="Yes"),"Compliant",IF(OR(J68="",K68="",L68=""),"Incomplete","Action needed")))</f>
        <v/>
      </c>
      <c r="N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27"/>
      <c r="H69" s="27"/>
      <c r="I69" s="27"/>
      <c r="J69" s="27"/>
      <c r="K69" s="27"/>
      <c r="L69" s="27"/>
      <c r="M69" s="19" t="str">
        <f aca="false">IF(B69="","",IF(AND(OR(I69="No",J69="Yes"),K69="Yes",L69="Yes"),"Compliant",IF(OR(J69="",K69="",L69=""),"Incomplete","Action needed")))</f>
        <v/>
      </c>
      <c r="N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27"/>
      <c r="H70" s="27"/>
      <c r="I70" s="27"/>
      <c r="J70" s="27"/>
      <c r="K70" s="27"/>
      <c r="L70" s="27"/>
      <c r="M70" s="19" t="str">
        <f aca="false">IF(B70="","",IF(AND(OR(I70="No",J70="Yes"),K70="Yes",L70="Yes"),"Compliant",IF(OR(J70="",K70="",L70=""),"Incomplete","Action needed")))</f>
        <v/>
      </c>
      <c r="N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27"/>
      <c r="H71" s="27"/>
      <c r="I71" s="27"/>
      <c r="J71" s="27"/>
      <c r="K71" s="27"/>
      <c r="L71" s="27"/>
      <c r="M71" s="19" t="str">
        <f aca="false">IF(B71="","",IF(AND(OR(I71="No",J71="Yes"),K71="Yes",L71="Yes"),"Compliant",IF(OR(J71="",K71="",L71=""),"Incomplete","Action needed")))</f>
        <v/>
      </c>
      <c r="N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27"/>
      <c r="H72" s="27"/>
      <c r="I72" s="27"/>
      <c r="J72" s="27"/>
      <c r="K72" s="27"/>
      <c r="L72" s="27"/>
      <c r="M72" s="19" t="str">
        <f aca="false">IF(B72="","",IF(AND(OR(I72="No",J72="Yes"),K72="Yes",L72="Yes"),"Compliant",IF(OR(J72="",K72="",L72=""),"Incomplete","Action needed")))</f>
        <v/>
      </c>
      <c r="N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27"/>
      <c r="H73" s="27"/>
      <c r="I73" s="27"/>
      <c r="J73" s="27"/>
      <c r="K73" s="27"/>
      <c r="L73" s="27"/>
      <c r="M73" s="19" t="str">
        <f aca="false">IF(B73="","",IF(AND(OR(I73="No",J73="Yes"),K73="Yes",L73="Yes"),"Compliant",IF(OR(J73="",K73="",L73=""),"Incomplete","Action needed")))</f>
        <v/>
      </c>
      <c r="N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27"/>
      <c r="H74" s="27"/>
      <c r="I74" s="27"/>
      <c r="J74" s="27"/>
      <c r="K74" s="27"/>
      <c r="L74" s="27"/>
      <c r="M74" s="19" t="str">
        <f aca="false">IF(B74="","",IF(AND(OR(I74="No",J74="Yes"),K74="Yes",L74="Yes"),"Compliant",IF(OR(J74="",K74="",L74=""),"Incomplete","Action needed")))</f>
        <v/>
      </c>
      <c r="N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27"/>
      <c r="H75" s="27"/>
      <c r="I75" s="27"/>
      <c r="J75" s="27"/>
      <c r="K75" s="27"/>
      <c r="L75" s="27"/>
      <c r="M75" s="19" t="str">
        <f aca="false">IF(B75="","",IF(AND(OR(I75="No",J75="Yes"),K75="Yes",L75="Yes"),"Compliant",IF(OR(J75="",K75="",L75=""),"Incomplete","Action needed")))</f>
        <v/>
      </c>
      <c r="N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27"/>
      <c r="H76" s="27"/>
      <c r="I76" s="27"/>
      <c r="J76" s="27"/>
      <c r="K76" s="27"/>
      <c r="L76" s="27"/>
      <c r="M76" s="19" t="str">
        <f aca="false">IF(B76="","",IF(AND(OR(I76="No",J76="Yes"),K76="Yes",L76="Yes"),"Compliant",IF(OR(J76="",K76="",L76=""),"Incomplete","Action needed")))</f>
        <v/>
      </c>
      <c r="N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27"/>
      <c r="H77" s="27"/>
      <c r="I77" s="27"/>
      <c r="J77" s="27"/>
      <c r="K77" s="27"/>
      <c r="L77" s="27"/>
      <c r="M77" s="19" t="str">
        <f aca="false">IF(B77="","",IF(AND(OR(I77="No",J77="Yes"),K77="Yes",L77="Yes"),"Compliant",IF(OR(J77="",K77="",L77=""),"Incomplete","Action needed")))</f>
        <v/>
      </c>
      <c r="N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27"/>
      <c r="H78" s="27"/>
      <c r="I78" s="27"/>
      <c r="J78" s="27"/>
      <c r="K78" s="27"/>
      <c r="L78" s="27"/>
      <c r="M78" s="19" t="str">
        <f aca="false">IF(B78="","",IF(AND(OR(I78="No",J78="Yes"),K78="Yes",L78="Yes"),"Compliant",IF(OR(J78="",K78="",L78=""),"Incomplete","Action needed")))</f>
        <v/>
      </c>
      <c r="N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27"/>
      <c r="H79" s="27"/>
      <c r="I79" s="27"/>
      <c r="J79" s="27"/>
      <c r="K79" s="27"/>
      <c r="L79" s="27"/>
      <c r="M79" s="19" t="str">
        <f aca="false">IF(B79="","",IF(AND(OR(I79="No",J79="Yes"),K79="Yes",L79="Yes"),"Compliant",IF(OR(J79="",K79="",L79=""),"Incomplete","Action needed")))</f>
        <v/>
      </c>
      <c r="N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27"/>
      <c r="H80" s="27"/>
      <c r="I80" s="27"/>
      <c r="J80" s="27"/>
      <c r="K80" s="27"/>
      <c r="L80" s="27"/>
      <c r="M80" s="19" t="str">
        <f aca="false">IF(B80="","",IF(AND(OR(I80="No",J80="Yes"),K80="Yes",L80="Yes"),"Compliant",IF(OR(J80="",K80="",L80=""),"Incomplete","Action needed")))</f>
        <v/>
      </c>
      <c r="N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27"/>
      <c r="H81" s="27"/>
      <c r="I81" s="27"/>
      <c r="J81" s="27"/>
      <c r="K81" s="27"/>
      <c r="L81" s="27"/>
      <c r="M81" s="19" t="str">
        <f aca="false">IF(B81="","",IF(AND(OR(I81="No",J81="Yes"),K81="Yes",L81="Yes"),"Compliant",IF(OR(J81="",K81="",L81=""),"Incomplete","Action needed")))</f>
        <v/>
      </c>
      <c r="N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27"/>
      <c r="H82" s="27"/>
      <c r="I82" s="27"/>
      <c r="J82" s="27"/>
      <c r="K82" s="27"/>
      <c r="L82" s="27"/>
      <c r="M82" s="19" t="str">
        <f aca="false">IF(B82="","",IF(AND(OR(I82="No",J82="Yes"),K82="Yes",L82="Yes"),"Compliant",IF(OR(J82="",K82="",L82=""),"Incomplete","Action needed")))</f>
        <v/>
      </c>
      <c r="N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27"/>
      <c r="H83" s="27"/>
      <c r="I83" s="27"/>
      <c r="J83" s="27"/>
      <c r="K83" s="27"/>
      <c r="L83" s="27"/>
      <c r="M83" s="19" t="str">
        <f aca="false">IF(B83="","",IF(AND(OR(I83="No",J83="Yes"),K83="Yes",L83="Yes"),"Compliant",IF(OR(J83="",K83="",L83=""),"Incomplete","Action needed")))</f>
        <v/>
      </c>
      <c r="N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27"/>
      <c r="H84" s="27"/>
      <c r="I84" s="27"/>
      <c r="J84" s="27"/>
      <c r="K84" s="27"/>
      <c r="L84" s="27"/>
      <c r="M84" s="19" t="str">
        <f aca="false">IF(B84="","",IF(AND(OR(I84="No",J84="Yes"),K84="Yes",L84="Yes"),"Compliant",IF(OR(J84="",K84="",L84=""),"Incomplete","Action needed")))</f>
        <v/>
      </c>
      <c r="N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27"/>
      <c r="H85" s="27"/>
      <c r="I85" s="27"/>
      <c r="J85" s="27"/>
      <c r="K85" s="27"/>
      <c r="L85" s="27"/>
      <c r="M85" s="19" t="str">
        <f aca="false">IF(B85="","",IF(AND(OR(I85="No",J85="Yes"),K85="Yes",L85="Yes"),"Compliant",IF(OR(J85="",K85="",L85=""),"Incomplete","Action needed")))</f>
        <v/>
      </c>
      <c r="N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27"/>
      <c r="H86" s="27"/>
      <c r="I86" s="27"/>
      <c r="J86" s="27"/>
      <c r="K86" s="27"/>
      <c r="L86" s="27"/>
      <c r="M86" s="19" t="str">
        <f aca="false">IF(B86="","",IF(AND(OR(I86="No",J86="Yes"),K86="Yes",L86="Yes"),"Compliant",IF(OR(J86="",K86="",L86=""),"Incomplete","Action needed")))</f>
        <v/>
      </c>
      <c r="N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27"/>
      <c r="H87" s="27"/>
      <c r="I87" s="27"/>
      <c r="J87" s="27"/>
      <c r="K87" s="27"/>
      <c r="L87" s="27"/>
      <c r="M87" s="19" t="str">
        <f aca="false">IF(B87="","",IF(AND(OR(I87="No",J87="Yes"),K87="Yes",L87="Yes"),"Compliant",IF(OR(J87="",K87="",L87=""),"Incomplete","Action needed")))</f>
        <v/>
      </c>
      <c r="N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27"/>
      <c r="H88" s="27"/>
      <c r="I88" s="27"/>
      <c r="J88" s="27"/>
      <c r="K88" s="27"/>
      <c r="L88" s="27"/>
      <c r="M88" s="19" t="str">
        <f aca="false">IF(B88="","",IF(AND(OR(I88="No",J88="Yes"),K88="Yes",L88="Yes"),"Compliant",IF(OR(J88="",K88="",L88=""),"Incomplete","Action needed")))</f>
        <v/>
      </c>
      <c r="N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27"/>
      <c r="H89" s="27"/>
      <c r="I89" s="27"/>
      <c r="J89" s="27"/>
      <c r="K89" s="27"/>
      <c r="L89" s="27"/>
      <c r="M89" s="19" t="str">
        <f aca="false">IF(B89="","",IF(AND(OR(I89="No",J89="Yes"),K89="Yes",L89="Yes"),"Compliant",IF(OR(J89="",K89="",L89=""),"Incomplete","Action needed")))</f>
        <v/>
      </c>
      <c r="N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27"/>
      <c r="H90" s="27"/>
      <c r="I90" s="27"/>
      <c r="J90" s="27"/>
      <c r="K90" s="27"/>
      <c r="L90" s="27"/>
      <c r="M90" s="19" t="str">
        <f aca="false">IF(B90="","",IF(AND(OR(I90="No",J90="Yes"),K90="Yes",L90="Yes"),"Compliant",IF(OR(J90="",K90="",L90=""),"Incomplete","Action needed")))</f>
        <v/>
      </c>
      <c r="N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27"/>
      <c r="H91" s="27"/>
      <c r="I91" s="27"/>
      <c r="J91" s="27"/>
      <c r="K91" s="27"/>
      <c r="L91" s="27"/>
      <c r="M91" s="19" t="str">
        <f aca="false">IF(B91="","",IF(AND(OR(I91="No",J91="Yes"),K91="Yes",L91="Yes"),"Compliant",IF(OR(J91="",K91="",L91=""),"Incomplete","Action needed")))</f>
        <v/>
      </c>
      <c r="N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27"/>
      <c r="H92" s="27"/>
      <c r="I92" s="27"/>
      <c r="J92" s="27"/>
      <c r="K92" s="27"/>
      <c r="L92" s="27"/>
      <c r="M92" s="19" t="str">
        <f aca="false">IF(B92="","",IF(AND(OR(I92="No",J92="Yes"),K92="Yes",L92="Yes"),"Compliant",IF(OR(J92="",K92="",L92=""),"Incomplete","Action needed")))</f>
        <v/>
      </c>
      <c r="N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27"/>
      <c r="H93" s="27"/>
      <c r="I93" s="27"/>
      <c r="J93" s="27"/>
      <c r="K93" s="27"/>
      <c r="L93" s="27"/>
      <c r="M93" s="19" t="str">
        <f aca="false">IF(B93="","",IF(AND(OR(I93="No",J93="Yes"),K93="Yes",L93="Yes"),"Compliant",IF(OR(J93="",K93="",L93=""),"Incomplete","Action needed")))</f>
        <v/>
      </c>
      <c r="N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27"/>
      <c r="H94" s="27"/>
      <c r="I94" s="27"/>
      <c r="J94" s="27"/>
      <c r="K94" s="27"/>
      <c r="L94" s="27"/>
      <c r="M94" s="19" t="str">
        <f aca="false">IF(B94="","",IF(AND(OR(I94="No",J94="Yes"),K94="Yes",L94="Yes"),"Compliant",IF(OR(J94="",K94="",L94=""),"Incomplete","Action needed")))</f>
        <v/>
      </c>
      <c r="N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27"/>
      <c r="H95" s="27"/>
      <c r="I95" s="27"/>
      <c r="J95" s="27"/>
      <c r="K95" s="27"/>
      <c r="L95" s="27"/>
      <c r="M95" s="19" t="str">
        <f aca="false">IF(B95="","",IF(AND(OR(I95="No",J95="Yes"),K95="Yes",L95="Yes"),"Compliant",IF(OR(J95="",K95="",L95=""),"Incomplete","Action needed")))</f>
        <v/>
      </c>
      <c r="N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27"/>
      <c r="H96" s="27"/>
      <c r="I96" s="27"/>
      <c r="J96" s="27"/>
      <c r="K96" s="27"/>
      <c r="L96" s="27"/>
      <c r="M96" s="19" t="str">
        <f aca="false">IF(B96="","",IF(AND(OR(I96="No",J96="Yes"),K96="Yes",L96="Yes"),"Compliant",IF(OR(J96="",K96="",L96=""),"Incomplete","Action needed")))</f>
        <v/>
      </c>
      <c r="N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27"/>
      <c r="H97" s="27"/>
      <c r="I97" s="27"/>
      <c r="J97" s="27"/>
      <c r="K97" s="27"/>
      <c r="L97" s="27"/>
      <c r="M97" s="19" t="str">
        <f aca="false">IF(B97="","",IF(AND(OR(I97="No",J97="Yes"),K97="Yes",L97="Yes"),"Compliant",IF(OR(J97="",K97="",L97=""),"Incomplete","Action needed")))</f>
        <v/>
      </c>
      <c r="N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27"/>
      <c r="H98" s="27"/>
      <c r="I98" s="27"/>
      <c r="J98" s="27"/>
      <c r="K98" s="27"/>
      <c r="L98" s="27"/>
      <c r="M98" s="19" t="str">
        <f aca="false">IF(B98="","",IF(AND(OR(I98="No",J98="Yes"),K98="Yes",L98="Yes"),"Compliant",IF(OR(J98="",K98="",L98=""),"Incomplete","Action needed")))</f>
        <v/>
      </c>
      <c r="N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27"/>
      <c r="H99" s="27"/>
      <c r="I99" s="27"/>
      <c r="J99" s="27"/>
      <c r="K99" s="27"/>
      <c r="L99" s="27"/>
      <c r="M99" s="19" t="str">
        <f aca="false">IF(B99="","",IF(AND(OR(I99="No",J99="Yes"),K99="Yes",L99="Yes"),"Compliant",IF(OR(J99="",K99="",L99=""),"Incomplete","Action needed")))</f>
        <v/>
      </c>
      <c r="N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27"/>
      <c r="H100" s="27"/>
      <c r="I100" s="27"/>
      <c r="J100" s="27"/>
      <c r="K100" s="27"/>
      <c r="L100" s="27"/>
      <c r="M100" s="19" t="str">
        <f aca="false">IF(B100="","",IF(AND(OR(I100="No",J100="Yes"),K100="Yes",L100="Yes"),"Compliant",IF(OR(J100="",K100="",L100=""),"Incomplete","Action needed")))</f>
        <v/>
      </c>
      <c r="N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27"/>
      <c r="H101" s="27"/>
      <c r="I101" s="27"/>
      <c r="J101" s="27"/>
      <c r="K101" s="27"/>
      <c r="L101" s="27"/>
      <c r="M101" s="19" t="str">
        <f aca="false">IF(B101="","",IF(AND(OR(I101="No",J101="Yes"),K101="Yes",L101="Yes"),"Compliant",IF(OR(J101="",K101="",L101=""),"Incomplete","Action needed")))</f>
        <v/>
      </c>
      <c r="N101" s="10"/>
    </row>
    <row r="102" customFormat="false" ht="15" hidden="false" customHeight="false" outlineLevel="0" collapsed="false">
      <c r="A102" s="10"/>
      <c r="B102" s="10"/>
      <c r="C102" s="10"/>
      <c r="D102" s="10"/>
      <c r="E102" s="10"/>
      <c r="F102" s="10"/>
      <c r="G102" s="27"/>
      <c r="H102" s="27"/>
      <c r="I102" s="27"/>
      <c r="J102" s="27"/>
      <c r="K102" s="27"/>
      <c r="L102" s="27"/>
      <c r="M102" s="19" t="str">
        <f aca="false">IF(B102="","",IF(AND(OR(I102="No",J102="Yes"),K102="Yes",L102="Yes"),"Compliant",IF(OR(J102="",K102="",L102=""),"Incomplete","Action needed")))</f>
        <v/>
      </c>
      <c r="N102" s="10"/>
    </row>
    <row r="103" customFormat="false" ht="15" hidden="false" customHeight="false" outlineLevel="0" collapsed="false">
      <c r="A103" s="10"/>
      <c r="B103" s="10"/>
      <c r="C103" s="10"/>
      <c r="D103" s="10"/>
      <c r="E103" s="10"/>
      <c r="F103" s="10"/>
      <c r="G103" s="27"/>
      <c r="H103" s="27"/>
      <c r="I103" s="27"/>
      <c r="J103" s="27"/>
      <c r="K103" s="27"/>
      <c r="L103" s="27"/>
      <c r="M103" s="19" t="str">
        <f aca="false">IF(B103="","",IF(AND(OR(I103="No",J103="Yes"),K103="Yes",L103="Yes"),"Compliant",IF(OR(J103="",K103="",L103=""),"Incomplete","Action needed")))</f>
        <v/>
      </c>
      <c r="N103" s="10"/>
    </row>
    <row r="104" customFormat="false" ht="15" hidden="false" customHeight="false" outlineLevel="0" collapsed="false">
      <c r="A104" s="10"/>
      <c r="B104" s="10"/>
      <c r="C104" s="10"/>
      <c r="D104" s="10"/>
      <c r="E104" s="10"/>
      <c r="F104" s="10"/>
      <c r="G104" s="27"/>
      <c r="H104" s="27"/>
      <c r="I104" s="27"/>
      <c r="J104" s="27"/>
      <c r="K104" s="27"/>
      <c r="L104" s="27"/>
      <c r="M104" s="19" t="str">
        <f aca="false">IF(B104="","",IF(AND(OR(I104="No",J104="Yes"),K104="Yes",L104="Yes"),"Compliant",IF(OR(J104="",K104="",L104=""),"Incomplete","Action needed")))</f>
        <v/>
      </c>
      <c r="N104" s="10"/>
    </row>
  </sheetData>
  <conditionalFormatting sqref="M5:M104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1">
      <formula>"Incomplete"</formula>
    </cfRule>
    <cfRule type="cellIs" priority="4" operator="equal" aboveAverage="0" equalAverage="0" bottom="0" percent="0" rank="0" text="" dxfId="2">
      <formula>"Action needed"</formula>
    </cfRule>
  </conditionalFormatting>
  <conditionalFormatting sqref="J5:L104">
    <cfRule type="cellIs" priority="5" operator="equal" aboveAverage="0" equalAverage="0" bottom="0" percent="0" rank="0" text="" dxfId="0">
      <formula>"Yes"</formula>
    </cfRule>
    <cfRule type="cellIs" priority="6" operator="equal" aboveAverage="0" equalAverage="0" bottom="0" percent="0" rank="0" text="" dxfId="2">
      <formula>"No"</formula>
    </cfRule>
  </conditionalFormatting>
  <dataValidations count="3">
    <dataValidation allowBlank="true" error="Please choose a value from the list." errorStyle="stop" errorTitle="Invalid entry" operator="between" showDropDown="false" showErrorMessage="false" showInputMessage="false" sqref="D5:D104" type="list">
      <formula1>Lists!$F$2:$F$10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5:E104" type="list">
      <formula1>Lists!$G$2:$G$6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I5:L10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5"/>
    <col collapsed="false" customWidth="true" hidden="false" outlineLevel="0" max="5" min="5" style="0" width="36"/>
    <col collapsed="false" customWidth="true" hidden="false" outlineLevel="0" max="6" min="6" style="0" width="18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220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221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31.5" hidden="false" customHeight="true" outlineLevel="0" collapsed="false">
      <c r="A4" s="13" t="s">
        <v>222</v>
      </c>
      <c r="B4" s="13" t="s">
        <v>223</v>
      </c>
      <c r="C4" s="13" t="s">
        <v>224</v>
      </c>
      <c r="D4" s="13" t="s">
        <v>225</v>
      </c>
      <c r="E4" s="13" t="s">
        <v>226</v>
      </c>
      <c r="F4" s="13" t="s">
        <v>227</v>
      </c>
      <c r="G4" s="13" t="s">
        <v>228</v>
      </c>
    </row>
    <row r="5" customFormat="false" ht="15" hidden="false" customHeight="false" outlineLevel="0" collapsed="false">
      <c r="A5" s="11" t="n">
        <v>46290</v>
      </c>
      <c r="B5" s="10" t="s">
        <v>229</v>
      </c>
      <c r="C5" s="10" t="s">
        <v>230</v>
      </c>
      <c r="D5" s="27" t="s">
        <v>231</v>
      </c>
      <c r="E5" s="10"/>
      <c r="F5" s="10"/>
      <c r="G5" s="11"/>
    </row>
    <row r="6" customFormat="false" ht="15" hidden="false" customHeight="false" outlineLevel="0" collapsed="false">
      <c r="A6" s="11" t="n">
        <v>46290</v>
      </c>
      <c r="B6" s="10" t="s">
        <v>229</v>
      </c>
      <c r="C6" s="10" t="s">
        <v>232</v>
      </c>
      <c r="D6" s="27" t="s">
        <v>231</v>
      </c>
      <c r="E6" s="10"/>
      <c r="F6" s="10"/>
      <c r="G6" s="11"/>
    </row>
    <row r="7" customFormat="false" ht="15" hidden="false" customHeight="false" outlineLevel="0" collapsed="false">
      <c r="A7" s="11" t="n">
        <v>46290</v>
      </c>
      <c r="B7" s="10" t="s">
        <v>229</v>
      </c>
      <c r="C7" s="10" t="s">
        <v>233</v>
      </c>
      <c r="D7" s="27" t="s">
        <v>231</v>
      </c>
      <c r="E7" s="10"/>
      <c r="F7" s="10"/>
      <c r="G7" s="11"/>
    </row>
    <row r="8" customFormat="false" ht="26.85" hidden="false" customHeight="false" outlineLevel="0" collapsed="false">
      <c r="A8" s="11" t="n">
        <v>46290</v>
      </c>
      <c r="B8" s="10" t="s">
        <v>229</v>
      </c>
      <c r="C8" s="10" t="s">
        <v>234</v>
      </c>
      <c r="D8" s="27" t="s">
        <v>235</v>
      </c>
      <c r="E8" s="10" t="s">
        <v>236</v>
      </c>
      <c r="F8" s="10" t="s">
        <v>237</v>
      </c>
      <c r="G8" s="11" t="n">
        <v>46305</v>
      </c>
    </row>
    <row r="9" customFormat="false" ht="15" hidden="false" customHeight="false" outlineLevel="0" collapsed="false">
      <c r="A9" s="11" t="n">
        <v>46290</v>
      </c>
      <c r="B9" s="10" t="s">
        <v>229</v>
      </c>
      <c r="C9" s="10" t="s">
        <v>238</v>
      </c>
      <c r="D9" s="27" t="s">
        <v>231</v>
      </c>
      <c r="E9" s="10"/>
      <c r="F9" s="10"/>
      <c r="G9" s="11"/>
    </row>
    <row r="10" customFormat="false" ht="15" hidden="false" customHeight="false" outlineLevel="0" collapsed="false">
      <c r="A10" s="11" t="n">
        <v>46290</v>
      </c>
      <c r="B10" s="10" t="s">
        <v>229</v>
      </c>
      <c r="C10" s="10" t="s">
        <v>239</v>
      </c>
      <c r="D10" s="27" t="s">
        <v>231</v>
      </c>
      <c r="E10" s="10"/>
      <c r="F10" s="10"/>
      <c r="G10" s="11"/>
    </row>
    <row r="11" customFormat="false" ht="15" hidden="false" customHeight="false" outlineLevel="0" collapsed="false">
      <c r="A11" s="11" t="n">
        <v>46290</v>
      </c>
      <c r="B11" s="10" t="s">
        <v>229</v>
      </c>
      <c r="C11" s="10" t="s">
        <v>240</v>
      </c>
      <c r="D11" s="27" t="s">
        <v>231</v>
      </c>
      <c r="E11" s="10"/>
      <c r="F11" s="10"/>
      <c r="G11" s="11"/>
    </row>
    <row r="12" customFormat="false" ht="15" hidden="false" customHeight="false" outlineLevel="0" collapsed="false">
      <c r="A12" s="11" t="n">
        <v>46290</v>
      </c>
      <c r="B12" s="10" t="s">
        <v>229</v>
      </c>
      <c r="C12" s="10" t="s">
        <v>241</v>
      </c>
      <c r="D12" s="27" t="s">
        <v>231</v>
      </c>
      <c r="E12" s="10"/>
      <c r="F12" s="10"/>
      <c r="G12" s="11"/>
    </row>
    <row r="13" customFormat="false" ht="15" hidden="false" customHeight="false" outlineLevel="0" collapsed="false">
      <c r="A13" s="11" t="n">
        <v>46290</v>
      </c>
      <c r="B13" s="10" t="s">
        <v>229</v>
      </c>
      <c r="C13" s="10" t="s">
        <v>242</v>
      </c>
      <c r="D13" s="27" t="s">
        <v>231</v>
      </c>
      <c r="E13" s="10"/>
      <c r="F13" s="10"/>
      <c r="G13" s="11"/>
    </row>
    <row r="14" customFormat="false" ht="15" hidden="false" customHeight="false" outlineLevel="0" collapsed="false">
      <c r="A14" s="11" t="n">
        <v>46290</v>
      </c>
      <c r="B14" s="10" t="s">
        <v>229</v>
      </c>
      <c r="C14" s="10" t="s">
        <v>243</v>
      </c>
      <c r="D14" s="27" t="s">
        <v>231</v>
      </c>
      <c r="E14" s="10"/>
      <c r="F14" s="10"/>
      <c r="G14" s="11"/>
    </row>
    <row r="15" customFormat="false" ht="15" hidden="false" customHeight="false" outlineLevel="0" collapsed="false">
      <c r="A15" s="11"/>
      <c r="B15" s="10"/>
      <c r="C15" s="10"/>
      <c r="D15" s="27"/>
      <c r="E15" s="10"/>
      <c r="F15" s="10"/>
      <c r="G15" s="11"/>
    </row>
    <row r="16" customFormat="false" ht="15" hidden="false" customHeight="false" outlineLevel="0" collapsed="false">
      <c r="A16" s="11"/>
      <c r="B16" s="10"/>
      <c r="C16" s="10"/>
      <c r="D16" s="27"/>
      <c r="E16" s="10"/>
      <c r="F16" s="10"/>
      <c r="G16" s="11"/>
    </row>
    <row r="17" customFormat="false" ht="15" hidden="false" customHeight="false" outlineLevel="0" collapsed="false">
      <c r="A17" s="11"/>
      <c r="B17" s="10"/>
      <c r="C17" s="10"/>
      <c r="D17" s="27"/>
      <c r="E17" s="10"/>
      <c r="F17" s="10"/>
      <c r="G17" s="11"/>
    </row>
    <row r="18" customFormat="false" ht="15" hidden="false" customHeight="false" outlineLevel="0" collapsed="false">
      <c r="A18" s="11"/>
      <c r="B18" s="10"/>
      <c r="C18" s="10"/>
      <c r="D18" s="27"/>
      <c r="E18" s="10"/>
      <c r="F18" s="10"/>
      <c r="G18" s="11"/>
    </row>
    <row r="19" customFormat="false" ht="15" hidden="false" customHeight="false" outlineLevel="0" collapsed="false">
      <c r="A19" s="11"/>
      <c r="B19" s="10"/>
      <c r="C19" s="10"/>
      <c r="D19" s="27"/>
      <c r="E19" s="10"/>
      <c r="F19" s="10"/>
      <c r="G19" s="11"/>
    </row>
    <row r="20" customFormat="false" ht="15" hidden="false" customHeight="false" outlineLevel="0" collapsed="false">
      <c r="A20" s="11"/>
      <c r="B20" s="10"/>
      <c r="C20" s="10"/>
      <c r="D20" s="27"/>
      <c r="E20" s="10"/>
      <c r="F20" s="10"/>
      <c r="G20" s="11"/>
    </row>
    <row r="21" customFormat="false" ht="15" hidden="false" customHeight="false" outlineLevel="0" collapsed="false">
      <c r="A21" s="11"/>
      <c r="B21" s="10"/>
      <c r="C21" s="10"/>
      <c r="D21" s="27"/>
      <c r="E21" s="10"/>
      <c r="F21" s="10"/>
      <c r="G21" s="11"/>
    </row>
    <row r="22" customFormat="false" ht="15" hidden="false" customHeight="false" outlineLevel="0" collapsed="false">
      <c r="A22" s="11"/>
      <c r="B22" s="10"/>
      <c r="C22" s="10"/>
      <c r="D22" s="27"/>
      <c r="E22" s="10"/>
      <c r="F22" s="10"/>
      <c r="G22" s="11"/>
    </row>
    <row r="23" customFormat="false" ht="15" hidden="false" customHeight="false" outlineLevel="0" collapsed="false">
      <c r="A23" s="11"/>
      <c r="B23" s="10"/>
      <c r="C23" s="10"/>
      <c r="D23" s="27"/>
      <c r="E23" s="10"/>
      <c r="F23" s="10"/>
      <c r="G23" s="11"/>
    </row>
    <row r="24" customFormat="false" ht="15" hidden="false" customHeight="false" outlineLevel="0" collapsed="false">
      <c r="A24" s="11"/>
      <c r="B24" s="10"/>
      <c r="C24" s="10"/>
      <c r="D24" s="27"/>
      <c r="E24" s="10"/>
      <c r="F24" s="10"/>
      <c r="G24" s="11"/>
    </row>
    <row r="25" customFormat="false" ht="15" hidden="false" customHeight="false" outlineLevel="0" collapsed="false">
      <c r="A25" s="11"/>
      <c r="B25" s="10"/>
      <c r="C25" s="10"/>
      <c r="D25" s="27"/>
      <c r="E25" s="10"/>
      <c r="F25" s="10"/>
      <c r="G25" s="11"/>
    </row>
    <row r="26" customFormat="false" ht="15" hidden="false" customHeight="false" outlineLevel="0" collapsed="false">
      <c r="A26" s="11"/>
      <c r="B26" s="10"/>
      <c r="C26" s="10"/>
      <c r="D26" s="27"/>
      <c r="E26" s="10"/>
      <c r="F26" s="10"/>
      <c r="G26" s="11"/>
    </row>
    <row r="27" customFormat="false" ht="15" hidden="false" customHeight="false" outlineLevel="0" collapsed="false">
      <c r="A27" s="11"/>
      <c r="B27" s="10"/>
      <c r="C27" s="10"/>
      <c r="D27" s="27"/>
      <c r="E27" s="10"/>
      <c r="F27" s="10"/>
      <c r="G27" s="11"/>
    </row>
    <row r="28" customFormat="false" ht="15" hidden="false" customHeight="false" outlineLevel="0" collapsed="false">
      <c r="A28" s="11"/>
      <c r="B28" s="10"/>
      <c r="C28" s="10"/>
      <c r="D28" s="27"/>
      <c r="E28" s="10"/>
      <c r="F28" s="10"/>
      <c r="G28" s="11"/>
    </row>
    <row r="29" customFormat="false" ht="15" hidden="false" customHeight="false" outlineLevel="0" collapsed="false">
      <c r="A29" s="11"/>
      <c r="B29" s="10"/>
      <c r="C29" s="10"/>
      <c r="D29" s="27"/>
      <c r="E29" s="10"/>
      <c r="F29" s="10"/>
      <c r="G29" s="11"/>
    </row>
    <row r="30" customFormat="false" ht="15" hidden="false" customHeight="false" outlineLevel="0" collapsed="false">
      <c r="A30" s="11"/>
      <c r="B30" s="10"/>
      <c r="C30" s="10"/>
      <c r="D30" s="27"/>
      <c r="E30" s="10"/>
      <c r="F30" s="10"/>
      <c r="G30" s="11"/>
    </row>
    <row r="31" customFormat="false" ht="15" hidden="false" customHeight="false" outlineLevel="0" collapsed="false">
      <c r="A31" s="11"/>
      <c r="B31" s="10"/>
      <c r="C31" s="10"/>
      <c r="D31" s="27"/>
      <c r="E31" s="10"/>
      <c r="F31" s="10"/>
      <c r="G31" s="11"/>
    </row>
    <row r="32" customFormat="false" ht="15" hidden="false" customHeight="false" outlineLevel="0" collapsed="false">
      <c r="A32" s="11"/>
      <c r="B32" s="10"/>
      <c r="C32" s="10"/>
      <c r="D32" s="27"/>
      <c r="E32" s="10"/>
      <c r="F32" s="10"/>
      <c r="G32" s="11"/>
    </row>
    <row r="33" customFormat="false" ht="15" hidden="false" customHeight="false" outlineLevel="0" collapsed="false">
      <c r="A33" s="11"/>
      <c r="B33" s="10"/>
      <c r="C33" s="10"/>
      <c r="D33" s="27"/>
      <c r="E33" s="10"/>
      <c r="F33" s="10"/>
      <c r="G33" s="11"/>
    </row>
    <row r="34" customFormat="false" ht="15" hidden="false" customHeight="false" outlineLevel="0" collapsed="false">
      <c r="A34" s="11"/>
      <c r="B34" s="10"/>
      <c r="C34" s="10"/>
      <c r="D34" s="27"/>
      <c r="E34" s="10"/>
      <c r="F34" s="10"/>
      <c r="G34" s="11"/>
    </row>
    <row r="35" customFormat="false" ht="15" hidden="false" customHeight="false" outlineLevel="0" collapsed="false">
      <c r="A35" s="11"/>
      <c r="B35" s="10"/>
      <c r="C35" s="10"/>
      <c r="D35" s="27"/>
      <c r="E35" s="10"/>
      <c r="F35" s="10"/>
      <c r="G35" s="11"/>
    </row>
    <row r="36" customFormat="false" ht="15" hidden="false" customHeight="false" outlineLevel="0" collapsed="false">
      <c r="A36" s="11"/>
      <c r="B36" s="10"/>
      <c r="C36" s="10"/>
      <c r="D36" s="27"/>
      <c r="E36" s="10"/>
      <c r="F36" s="10"/>
      <c r="G36" s="11"/>
    </row>
    <row r="37" customFormat="false" ht="15" hidden="false" customHeight="false" outlineLevel="0" collapsed="false">
      <c r="A37" s="11"/>
      <c r="B37" s="10"/>
      <c r="C37" s="10"/>
      <c r="D37" s="27"/>
      <c r="E37" s="10"/>
      <c r="F37" s="10"/>
      <c r="G37" s="11"/>
    </row>
    <row r="38" customFormat="false" ht="15" hidden="false" customHeight="false" outlineLevel="0" collapsed="false">
      <c r="A38" s="11"/>
      <c r="B38" s="10"/>
      <c r="C38" s="10"/>
      <c r="D38" s="27"/>
      <c r="E38" s="10"/>
      <c r="F38" s="10"/>
      <c r="G38" s="11"/>
    </row>
    <row r="39" customFormat="false" ht="15" hidden="false" customHeight="false" outlineLevel="0" collapsed="false">
      <c r="A39" s="11"/>
      <c r="B39" s="10"/>
      <c r="C39" s="10"/>
      <c r="D39" s="27"/>
      <c r="E39" s="10"/>
      <c r="F39" s="10"/>
      <c r="G39" s="11"/>
    </row>
    <row r="40" customFormat="false" ht="15" hidden="false" customHeight="false" outlineLevel="0" collapsed="false">
      <c r="A40" s="11"/>
      <c r="B40" s="10"/>
      <c r="C40" s="10"/>
      <c r="D40" s="27"/>
      <c r="E40" s="10"/>
      <c r="F40" s="10"/>
      <c r="G40" s="11"/>
    </row>
    <row r="41" customFormat="false" ht="15" hidden="false" customHeight="false" outlineLevel="0" collapsed="false">
      <c r="A41" s="11"/>
      <c r="B41" s="10"/>
      <c r="C41" s="10"/>
      <c r="D41" s="27"/>
      <c r="E41" s="10"/>
      <c r="F41" s="10"/>
      <c r="G41" s="11"/>
    </row>
    <row r="42" customFormat="false" ht="15" hidden="false" customHeight="false" outlineLevel="0" collapsed="false">
      <c r="A42" s="11"/>
      <c r="B42" s="10"/>
      <c r="C42" s="10"/>
      <c r="D42" s="27"/>
      <c r="E42" s="10"/>
      <c r="F42" s="10"/>
      <c r="G42" s="11"/>
    </row>
    <row r="43" customFormat="false" ht="15" hidden="false" customHeight="false" outlineLevel="0" collapsed="false">
      <c r="A43" s="11"/>
      <c r="B43" s="10"/>
      <c r="C43" s="10"/>
      <c r="D43" s="27"/>
      <c r="E43" s="10"/>
      <c r="F43" s="10"/>
      <c r="G43" s="11"/>
    </row>
    <row r="44" customFormat="false" ht="15" hidden="false" customHeight="false" outlineLevel="0" collapsed="false">
      <c r="A44" s="11"/>
      <c r="B44" s="10"/>
      <c r="C44" s="10"/>
      <c r="D44" s="27"/>
      <c r="E44" s="10"/>
      <c r="F44" s="10"/>
      <c r="G44" s="11"/>
    </row>
    <row r="45" customFormat="false" ht="15" hidden="false" customHeight="false" outlineLevel="0" collapsed="false">
      <c r="A45" s="11"/>
      <c r="B45" s="10"/>
      <c r="C45" s="10"/>
      <c r="D45" s="27"/>
      <c r="E45" s="10"/>
      <c r="F45" s="10"/>
      <c r="G45" s="11"/>
    </row>
    <row r="46" customFormat="false" ht="15" hidden="false" customHeight="false" outlineLevel="0" collapsed="false">
      <c r="A46" s="11"/>
      <c r="B46" s="10"/>
      <c r="C46" s="10"/>
      <c r="D46" s="27"/>
      <c r="E46" s="10"/>
      <c r="F46" s="10"/>
      <c r="G46" s="11"/>
    </row>
    <row r="47" customFormat="false" ht="15" hidden="false" customHeight="false" outlineLevel="0" collapsed="false">
      <c r="A47" s="11"/>
      <c r="B47" s="10"/>
      <c r="C47" s="10"/>
      <c r="D47" s="27"/>
      <c r="E47" s="10"/>
      <c r="F47" s="10"/>
      <c r="G47" s="11"/>
    </row>
    <row r="48" customFormat="false" ht="15" hidden="false" customHeight="false" outlineLevel="0" collapsed="false">
      <c r="A48" s="11"/>
      <c r="B48" s="10"/>
      <c r="C48" s="10"/>
      <c r="D48" s="27"/>
      <c r="E48" s="10"/>
      <c r="F48" s="10"/>
      <c r="G48" s="11"/>
    </row>
    <row r="49" customFormat="false" ht="15" hidden="false" customHeight="false" outlineLevel="0" collapsed="false">
      <c r="A49" s="11"/>
      <c r="B49" s="10"/>
      <c r="C49" s="10"/>
      <c r="D49" s="27"/>
      <c r="E49" s="10"/>
      <c r="F49" s="10"/>
      <c r="G49" s="11"/>
    </row>
    <row r="50" customFormat="false" ht="15" hidden="false" customHeight="false" outlineLevel="0" collapsed="false">
      <c r="A50" s="11"/>
      <c r="B50" s="10"/>
      <c r="C50" s="10"/>
      <c r="D50" s="27"/>
      <c r="E50" s="10"/>
      <c r="F50" s="10"/>
      <c r="G50" s="11"/>
    </row>
    <row r="51" customFormat="false" ht="15" hidden="false" customHeight="false" outlineLevel="0" collapsed="false">
      <c r="A51" s="11"/>
      <c r="B51" s="10"/>
      <c r="C51" s="10"/>
      <c r="D51" s="27"/>
      <c r="E51" s="10"/>
      <c r="F51" s="10"/>
      <c r="G51" s="11"/>
    </row>
    <row r="52" customFormat="false" ht="15" hidden="false" customHeight="false" outlineLevel="0" collapsed="false">
      <c r="A52" s="11"/>
      <c r="B52" s="10"/>
      <c r="C52" s="10"/>
      <c r="D52" s="27"/>
      <c r="E52" s="10"/>
      <c r="F52" s="10"/>
      <c r="G52" s="11"/>
    </row>
    <row r="53" customFormat="false" ht="15" hidden="false" customHeight="false" outlineLevel="0" collapsed="false">
      <c r="A53" s="11"/>
      <c r="B53" s="10"/>
      <c r="C53" s="10"/>
      <c r="D53" s="27"/>
      <c r="E53" s="10"/>
      <c r="F53" s="10"/>
      <c r="G53" s="11"/>
    </row>
    <row r="54" customFormat="false" ht="15" hidden="false" customHeight="false" outlineLevel="0" collapsed="false">
      <c r="A54" s="11"/>
      <c r="B54" s="10"/>
      <c r="C54" s="10"/>
      <c r="D54" s="27"/>
      <c r="E54" s="10"/>
      <c r="F54" s="10"/>
      <c r="G54" s="11"/>
    </row>
    <row r="55" customFormat="false" ht="15" hidden="false" customHeight="false" outlineLevel="0" collapsed="false">
      <c r="A55" s="11"/>
      <c r="B55" s="10"/>
      <c r="C55" s="10"/>
      <c r="D55" s="27"/>
      <c r="E55" s="10"/>
      <c r="F55" s="10"/>
      <c r="G55" s="11"/>
    </row>
    <row r="56" customFormat="false" ht="15" hidden="false" customHeight="false" outlineLevel="0" collapsed="false">
      <c r="A56" s="11"/>
      <c r="B56" s="10"/>
      <c r="C56" s="10"/>
      <c r="D56" s="27"/>
      <c r="E56" s="10"/>
      <c r="F56" s="10"/>
      <c r="G56" s="11"/>
    </row>
    <row r="57" customFormat="false" ht="15" hidden="false" customHeight="false" outlineLevel="0" collapsed="false">
      <c r="A57" s="11"/>
      <c r="B57" s="10"/>
      <c r="C57" s="10"/>
      <c r="D57" s="27"/>
      <c r="E57" s="10"/>
      <c r="F57" s="10"/>
      <c r="G57" s="11"/>
    </row>
    <row r="58" customFormat="false" ht="15" hidden="false" customHeight="false" outlineLevel="0" collapsed="false">
      <c r="A58" s="11"/>
      <c r="B58" s="10"/>
      <c r="C58" s="10"/>
      <c r="D58" s="27"/>
      <c r="E58" s="10"/>
      <c r="F58" s="10"/>
      <c r="G58" s="11"/>
    </row>
    <row r="59" customFormat="false" ht="15" hidden="false" customHeight="false" outlineLevel="0" collapsed="false">
      <c r="A59" s="11"/>
      <c r="B59" s="10"/>
      <c r="C59" s="10"/>
      <c r="D59" s="27"/>
      <c r="E59" s="10"/>
      <c r="F59" s="10"/>
      <c r="G59" s="11"/>
    </row>
    <row r="60" customFormat="false" ht="15" hidden="false" customHeight="false" outlineLevel="0" collapsed="false">
      <c r="A60" s="11"/>
      <c r="B60" s="10"/>
      <c r="C60" s="10"/>
      <c r="D60" s="27"/>
      <c r="E60" s="10"/>
      <c r="F60" s="10"/>
      <c r="G60" s="11"/>
    </row>
    <row r="61" customFormat="false" ht="15" hidden="false" customHeight="false" outlineLevel="0" collapsed="false">
      <c r="A61" s="11"/>
      <c r="B61" s="10"/>
      <c r="C61" s="10"/>
      <c r="D61" s="27"/>
      <c r="E61" s="10"/>
      <c r="F61" s="10"/>
      <c r="G61" s="11"/>
    </row>
    <row r="62" customFormat="false" ht="15" hidden="false" customHeight="false" outlineLevel="0" collapsed="false">
      <c r="A62" s="11"/>
      <c r="B62" s="10"/>
      <c r="C62" s="10"/>
      <c r="D62" s="27"/>
      <c r="E62" s="10"/>
      <c r="F62" s="10"/>
      <c r="G62" s="11"/>
    </row>
    <row r="63" customFormat="false" ht="15" hidden="false" customHeight="false" outlineLevel="0" collapsed="false">
      <c r="A63" s="11"/>
      <c r="B63" s="10"/>
      <c r="C63" s="10"/>
      <c r="D63" s="27"/>
      <c r="E63" s="10"/>
      <c r="F63" s="10"/>
      <c r="G63" s="11"/>
    </row>
    <row r="64" customFormat="false" ht="15" hidden="false" customHeight="false" outlineLevel="0" collapsed="false">
      <c r="A64" s="11"/>
      <c r="B64" s="10"/>
      <c r="C64" s="10"/>
      <c r="D64" s="27"/>
      <c r="E64" s="10"/>
      <c r="F64" s="10"/>
      <c r="G64" s="11"/>
    </row>
    <row r="65" customFormat="false" ht="15" hidden="false" customHeight="false" outlineLevel="0" collapsed="false">
      <c r="A65" s="11"/>
      <c r="B65" s="10"/>
      <c r="C65" s="10"/>
      <c r="D65" s="27"/>
      <c r="E65" s="10"/>
      <c r="F65" s="10"/>
      <c r="G65" s="11"/>
    </row>
    <row r="66" customFormat="false" ht="15" hidden="false" customHeight="false" outlineLevel="0" collapsed="false">
      <c r="A66" s="11"/>
      <c r="B66" s="10"/>
      <c r="C66" s="10"/>
      <c r="D66" s="27"/>
      <c r="E66" s="10"/>
      <c r="F66" s="10"/>
      <c r="G66" s="11"/>
    </row>
    <row r="67" customFormat="false" ht="15" hidden="false" customHeight="false" outlineLevel="0" collapsed="false">
      <c r="A67" s="11"/>
      <c r="B67" s="10"/>
      <c r="C67" s="10"/>
      <c r="D67" s="27"/>
      <c r="E67" s="10"/>
      <c r="F67" s="10"/>
      <c r="G67" s="11"/>
    </row>
    <row r="68" customFormat="false" ht="15" hidden="false" customHeight="false" outlineLevel="0" collapsed="false">
      <c r="A68" s="11"/>
      <c r="B68" s="10"/>
      <c r="C68" s="10"/>
      <c r="D68" s="27"/>
      <c r="E68" s="10"/>
      <c r="F68" s="10"/>
      <c r="G68" s="11"/>
    </row>
    <row r="69" customFormat="false" ht="15" hidden="false" customHeight="false" outlineLevel="0" collapsed="false">
      <c r="A69" s="11"/>
      <c r="B69" s="10"/>
      <c r="C69" s="10"/>
      <c r="D69" s="27"/>
      <c r="E69" s="10"/>
      <c r="F69" s="10"/>
      <c r="G69" s="11"/>
    </row>
    <row r="70" customFormat="false" ht="15" hidden="false" customHeight="false" outlineLevel="0" collapsed="false">
      <c r="A70" s="11"/>
      <c r="B70" s="10"/>
      <c r="C70" s="10"/>
      <c r="D70" s="27"/>
      <c r="E70" s="10"/>
      <c r="F70" s="10"/>
      <c r="G70" s="11"/>
    </row>
    <row r="71" customFormat="false" ht="15" hidden="false" customHeight="false" outlineLevel="0" collapsed="false">
      <c r="A71" s="11"/>
      <c r="B71" s="10"/>
      <c r="C71" s="10"/>
      <c r="D71" s="27"/>
      <c r="E71" s="10"/>
      <c r="F71" s="10"/>
      <c r="G71" s="11"/>
    </row>
    <row r="72" customFormat="false" ht="15" hidden="false" customHeight="false" outlineLevel="0" collapsed="false">
      <c r="A72" s="11"/>
      <c r="B72" s="10"/>
      <c r="C72" s="10"/>
      <c r="D72" s="27"/>
      <c r="E72" s="10"/>
      <c r="F72" s="10"/>
      <c r="G72" s="11"/>
    </row>
    <row r="73" customFormat="false" ht="15" hidden="false" customHeight="false" outlineLevel="0" collapsed="false">
      <c r="A73" s="11"/>
      <c r="B73" s="10"/>
      <c r="C73" s="10"/>
      <c r="D73" s="27"/>
      <c r="E73" s="10"/>
      <c r="F73" s="10"/>
      <c r="G73" s="11"/>
    </row>
    <row r="74" customFormat="false" ht="15" hidden="false" customHeight="false" outlineLevel="0" collapsed="false">
      <c r="A74" s="11"/>
      <c r="B74" s="10"/>
      <c r="C74" s="10"/>
      <c r="D74" s="27"/>
      <c r="E74" s="10"/>
      <c r="F74" s="10"/>
      <c r="G74" s="11"/>
    </row>
    <row r="75" customFormat="false" ht="15" hidden="false" customHeight="false" outlineLevel="0" collapsed="false">
      <c r="A75" s="11"/>
      <c r="B75" s="10"/>
      <c r="C75" s="10"/>
      <c r="D75" s="27"/>
      <c r="E75" s="10"/>
      <c r="F75" s="10"/>
      <c r="G75" s="11"/>
    </row>
    <row r="76" customFormat="false" ht="15" hidden="false" customHeight="false" outlineLevel="0" collapsed="false">
      <c r="A76" s="11"/>
      <c r="B76" s="10"/>
      <c r="C76" s="10"/>
      <c r="D76" s="27"/>
      <c r="E76" s="10"/>
      <c r="F76" s="10"/>
      <c r="G76" s="11"/>
    </row>
    <row r="77" customFormat="false" ht="15" hidden="false" customHeight="false" outlineLevel="0" collapsed="false">
      <c r="A77" s="11"/>
      <c r="B77" s="10"/>
      <c r="C77" s="10"/>
      <c r="D77" s="27"/>
      <c r="E77" s="10"/>
      <c r="F77" s="10"/>
      <c r="G77" s="11"/>
    </row>
    <row r="78" customFormat="false" ht="15" hidden="false" customHeight="false" outlineLevel="0" collapsed="false">
      <c r="A78" s="11"/>
      <c r="B78" s="10"/>
      <c r="C78" s="10"/>
      <c r="D78" s="27"/>
      <c r="E78" s="10"/>
      <c r="F78" s="10"/>
      <c r="G78" s="11"/>
    </row>
    <row r="79" customFormat="false" ht="15" hidden="false" customHeight="false" outlineLevel="0" collapsed="false">
      <c r="A79" s="11"/>
      <c r="B79" s="10"/>
      <c r="C79" s="10"/>
      <c r="D79" s="27"/>
      <c r="E79" s="10"/>
      <c r="F79" s="10"/>
      <c r="G79" s="11"/>
    </row>
    <row r="80" customFormat="false" ht="15" hidden="false" customHeight="false" outlineLevel="0" collapsed="false">
      <c r="A80" s="11"/>
      <c r="B80" s="10"/>
      <c r="C80" s="10"/>
      <c r="D80" s="27"/>
      <c r="E80" s="10"/>
      <c r="F80" s="10"/>
      <c r="G80" s="11"/>
    </row>
    <row r="81" customFormat="false" ht="15" hidden="false" customHeight="false" outlineLevel="0" collapsed="false">
      <c r="A81" s="11"/>
      <c r="B81" s="10"/>
      <c r="C81" s="10"/>
      <c r="D81" s="27"/>
      <c r="E81" s="10"/>
      <c r="F81" s="10"/>
      <c r="G81" s="11"/>
    </row>
    <row r="82" customFormat="false" ht="15" hidden="false" customHeight="false" outlineLevel="0" collapsed="false">
      <c r="A82" s="11"/>
      <c r="B82" s="10"/>
      <c r="C82" s="10"/>
      <c r="D82" s="27"/>
      <c r="E82" s="10"/>
      <c r="F82" s="10"/>
      <c r="G82" s="11"/>
    </row>
    <row r="83" customFormat="false" ht="15" hidden="false" customHeight="false" outlineLevel="0" collapsed="false">
      <c r="A83" s="11"/>
      <c r="B83" s="10"/>
      <c r="C83" s="10"/>
      <c r="D83" s="27"/>
      <c r="E83" s="10"/>
      <c r="F83" s="10"/>
      <c r="G83" s="11"/>
    </row>
    <row r="84" customFormat="false" ht="15" hidden="false" customHeight="false" outlineLevel="0" collapsed="false">
      <c r="A84" s="11"/>
      <c r="B84" s="10"/>
      <c r="C84" s="10"/>
      <c r="D84" s="27"/>
      <c r="E84" s="10"/>
      <c r="F84" s="10"/>
      <c r="G84" s="11"/>
    </row>
    <row r="85" customFormat="false" ht="15" hidden="false" customHeight="false" outlineLevel="0" collapsed="false">
      <c r="A85" s="11"/>
      <c r="B85" s="10"/>
      <c r="C85" s="10"/>
      <c r="D85" s="27"/>
      <c r="E85" s="10"/>
      <c r="F85" s="10"/>
      <c r="G85" s="11"/>
    </row>
    <row r="86" customFormat="false" ht="15" hidden="false" customHeight="false" outlineLevel="0" collapsed="false">
      <c r="A86" s="11"/>
      <c r="B86" s="10"/>
      <c r="C86" s="10"/>
      <c r="D86" s="27"/>
      <c r="E86" s="10"/>
      <c r="F86" s="10"/>
      <c r="G86" s="11"/>
    </row>
    <row r="87" customFormat="false" ht="15" hidden="false" customHeight="false" outlineLevel="0" collapsed="false">
      <c r="A87" s="11"/>
      <c r="B87" s="10"/>
      <c r="C87" s="10"/>
      <c r="D87" s="27"/>
      <c r="E87" s="10"/>
      <c r="F87" s="10"/>
      <c r="G87" s="11"/>
    </row>
    <row r="88" customFormat="false" ht="15" hidden="false" customHeight="false" outlineLevel="0" collapsed="false">
      <c r="A88" s="11"/>
      <c r="B88" s="10"/>
      <c r="C88" s="10"/>
      <c r="D88" s="27"/>
      <c r="E88" s="10"/>
      <c r="F88" s="10"/>
      <c r="G88" s="11"/>
    </row>
    <row r="89" customFormat="false" ht="15" hidden="false" customHeight="false" outlineLevel="0" collapsed="false">
      <c r="A89" s="11"/>
      <c r="B89" s="10"/>
      <c r="C89" s="10"/>
      <c r="D89" s="27"/>
      <c r="E89" s="10"/>
      <c r="F89" s="10"/>
      <c r="G89" s="11"/>
    </row>
    <row r="90" customFormat="false" ht="15" hidden="false" customHeight="false" outlineLevel="0" collapsed="false">
      <c r="A90" s="11"/>
      <c r="B90" s="10"/>
      <c r="C90" s="10"/>
      <c r="D90" s="27"/>
      <c r="E90" s="10"/>
      <c r="F90" s="10"/>
      <c r="G90" s="11"/>
    </row>
    <row r="91" customFormat="false" ht="15" hidden="false" customHeight="false" outlineLevel="0" collapsed="false">
      <c r="A91" s="11"/>
      <c r="B91" s="10"/>
      <c r="C91" s="10"/>
      <c r="D91" s="27"/>
      <c r="E91" s="10"/>
      <c r="F91" s="10"/>
      <c r="G91" s="11"/>
    </row>
    <row r="92" customFormat="false" ht="15" hidden="false" customHeight="false" outlineLevel="0" collapsed="false">
      <c r="A92" s="11"/>
      <c r="B92" s="10"/>
      <c r="C92" s="10"/>
      <c r="D92" s="27"/>
      <c r="E92" s="10"/>
      <c r="F92" s="10"/>
      <c r="G92" s="11"/>
    </row>
    <row r="93" customFormat="false" ht="15" hidden="false" customHeight="false" outlineLevel="0" collapsed="false">
      <c r="A93" s="11"/>
      <c r="B93" s="10"/>
      <c r="C93" s="10"/>
      <c r="D93" s="27"/>
      <c r="E93" s="10"/>
      <c r="F93" s="10"/>
      <c r="G93" s="11"/>
    </row>
    <row r="94" customFormat="false" ht="15" hidden="false" customHeight="false" outlineLevel="0" collapsed="false">
      <c r="A94" s="11"/>
      <c r="B94" s="10"/>
      <c r="C94" s="10"/>
      <c r="D94" s="27"/>
      <c r="E94" s="10"/>
      <c r="F94" s="10"/>
      <c r="G94" s="11"/>
    </row>
    <row r="95" customFormat="false" ht="15" hidden="false" customHeight="false" outlineLevel="0" collapsed="false">
      <c r="A95" s="11"/>
      <c r="B95" s="10"/>
      <c r="C95" s="10"/>
      <c r="D95" s="27"/>
      <c r="E95" s="10"/>
      <c r="F95" s="10"/>
      <c r="G95" s="11"/>
    </row>
    <row r="96" customFormat="false" ht="15" hidden="false" customHeight="false" outlineLevel="0" collapsed="false">
      <c r="A96" s="11"/>
      <c r="B96" s="10"/>
      <c r="C96" s="10"/>
      <c r="D96" s="27"/>
      <c r="E96" s="10"/>
      <c r="F96" s="10"/>
      <c r="G96" s="11"/>
    </row>
    <row r="97" customFormat="false" ht="15" hidden="false" customHeight="false" outlineLevel="0" collapsed="false">
      <c r="A97" s="11"/>
      <c r="B97" s="10"/>
      <c r="C97" s="10"/>
      <c r="D97" s="27"/>
      <c r="E97" s="10"/>
      <c r="F97" s="10"/>
      <c r="G97" s="11"/>
    </row>
    <row r="98" customFormat="false" ht="15" hidden="false" customHeight="false" outlineLevel="0" collapsed="false">
      <c r="A98" s="11"/>
      <c r="B98" s="10"/>
      <c r="C98" s="10"/>
      <c r="D98" s="27"/>
      <c r="E98" s="10"/>
      <c r="F98" s="10"/>
      <c r="G98" s="11"/>
    </row>
    <row r="99" customFormat="false" ht="15" hidden="false" customHeight="false" outlineLevel="0" collapsed="false">
      <c r="A99" s="11"/>
      <c r="B99" s="10"/>
      <c r="C99" s="10"/>
      <c r="D99" s="27"/>
      <c r="E99" s="10"/>
      <c r="F99" s="10"/>
      <c r="G99" s="11"/>
    </row>
    <row r="100" customFormat="false" ht="15" hidden="false" customHeight="false" outlineLevel="0" collapsed="false">
      <c r="A100" s="11"/>
      <c r="B100" s="10"/>
      <c r="C100" s="10"/>
      <c r="D100" s="27"/>
      <c r="E100" s="10"/>
      <c r="F100" s="10"/>
      <c r="G100" s="11"/>
    </row>
    <row r="101" customFormat="false" ht="15" hidden="false" customHeight="false" outlineLevel="0" collapsed="false">
      <c r="A101" s="11"/>
      <c r="B101" s="10"/>
      <c r="C101" s="10"/>
      <c r="D101" s="27"/>
      <c r="E101" s="10"/>
      <c r="F101" s="10"/>
      <c r="G101" s="11"/>
    </row>
    <row r="102" customFormat="false" ht="15" hidden="false" customHeight="false" outlineLevel="0" collapsed="false">
      <c r="A102" s="11"/>
      <c r="B102" s="10"/>
      <c r="C102" s="10"/>
      <c r="D102" s="27"/>
      <c r="E102" s="10"/>
      <c r="F102" s="10"/>
      <c r="G102" s="11"/>
    </row>
    <row r="103" customFormat="false" ht="15" hidden="false" customHeight="false" outlineLevel="0" collapsed="false">
      <c r="A103" s="11"/>
      <c r="B103" s="10"/>
      <c r="C103" s="10"/>
      <c r="D103" s="27"/>
      <c r="E103" s="10"/>
      <c r="F103" s="10"/>
      <c r="G103" s="11"/>
    </row>
    <row r="104" customFormat="false" ht="15" hidden="false" customHeight="false" outlineLevel="0" collapsed="false">
      <c r="A104" s="11"/>
      <c r="B104" s="10"/>
      <c r="C104" s="10"/>
      <c r="D104" s="27"/>
      <c r="E104" s="10"/>
      <c r="F104" s="10"/>
      <c r="G104" s="11"/>
    </row>
    <row r="105" customFormat="false" ht="15" hidden="false" customHeight="false" outlineLevel="0" collapsed="false">
      <c r="A105" s="11"/>
      <c r="B105" s="10"/>
      <c r="C105" s="10"/>
      <c r="D105" s="27"/>
      <c r="E105" s="10"/>
      <c r="F105" s="10"/>
      <c r="G105" s="11"/>
    </row>
    <row r="106" customFormat="false" ht="15" hidden="false" customHeight="false" outlineLevel="0" collapsed="false">
      <c r="A106" s="11"/>
      <c r="B106" s="10"/>
      <c r="C106" s="10"/>
      <c r="D106" s="27"/>
      <c r="E106" s="10"/>
      <c r="F106" s="10"/>
      <c r="G106" s="11"/>
    </row>
    <row r="107" customFormat="false" ht="15" hidden="false" customHeight="false" outlineLevel="0" collapsed="false">
      <c r="A107" s="11"/>
      <c r="B107" s="10"/>
      <c r="C107" s="10"/>
      <c r="D107" s="27"/>
      <c r="E107" s="10"/>
      <c r="F107" s="10"/>
      <c r="G107" s="11"/>
    </row>
    <row r="108" customFormat="false" ht="15" hidden="false" customHeight="false" outlineLevel="0" collapsed="false">
      <c r="A108" s="11"/>
      <c r="B108" s="10"/>
      <c r="C108" s="10"/>
      <c r="D108" s="27"/>
      <c r="E108" s="10"/>
      <c r="F108" s="10"/>
      <c r="G108" s="11"/>
    </row>
    <row r="109" customFormat="false" ht="15" hidden="false" customHeight="false" outlineLevel="0" collapsed="false">
      <c r="A109" s="11"/>
      <c r="B109" s="10"/>
      <c r="C109" s="10"/>
      <c r="D109" s="27"/>
      <c r="E109" s="10"/>
      <c r="F109" s="10"/>
      <c r="G109" s="11"/>
    </row>
    <row r="110" customFormat="false" ht="15" hidden="false" customHeight="false" outlineLevel="0" collapsed="false">
      <c r="A110" s="11"/>
      <c r="B110" s="10"/>
      <c r="C110" s="10"/>
      <c r="D110" s="27"/>
      <c r="E110" s="10"/>
      <c r="F110" s="10"/>
      <c r="G110" s="11"/>
    </row>
    <row r="111" customFormat="false" ht="15" hidden="false" customHeight="false" outlineLevel="0" collapsed="false">
      <c r="A111" s="11"/>
      <c r="B111" s="10"/>
      <c r="C111" s="10"/>
      <c r="D111" s="27"/>
      <c r="E111" s="10"/>
      <c r="F111" s="10"/>
      <c r="G111" s="11"/>
    </row>
    <row r="112" customFormat="false" ht="15" hidden="false" customHeight="false" outlineLevel="0" collapsed="false">
      <c r="A112" s="11"/>
      <c r="B112" s="10"/>
      <c r="C112" s="10"/>
      <c r="D112" s="27"/>
      <c r="E112" s="10"/>
      <c r="F112" s="10"/>
      <c r="G112" s="11"/>
    </row>
    <row r="113" customFormat="false" ht="15" hidden="false" customHeight="false" outlineLevel="0" collapsed="false">
      <c r="A113" s="11"/>
      <c r="B113" s="10"/>
      <c r="C113" s="10"/>
      <c r="D113" s="27"/>
      <c r="E113" s="10"/>
      <c r="F113" s="10"/>
      <c r="G113" s="11"/>
    </row>
    <row r="114" customFormat="false" ht="15" hidden="false" customHeight="false" outlineLevel="0" collapsed="false">
      <c r="A114" s="11"/>
      <c r="B114" s="10"/>
      <c r="C114" s="10"/>
      <c r="D114" s="27"/>
      <c r="E114" s="10"/>
      <c r="F114" s="10"/>
      <c r="G114" s="11"/>
    </row>
    <row r="115" customFormat="false" ht="15" hidden="false" customHeight="false" outlineLevel="0" collapsed="false">
      <c r="A115" s="11"/>
      <c r="B115" s="10"/>
      <c r="C115" s="10"/>
      <c r="D115" s="27"/>
      <c r="E115" s="10"/>
      <c r="F115" s="10"/>
      <c r="G115" s="11"/>
    </row>
    <row r="116" customFormat="false" ht="15" hidden="false" customHeight="false" outlineLevel="0" collapsed="false">
      <c r="A116" s="11"/>
      <c r="B116" s="10"/>
      <c r="C116" s="10"/>
      <c r="D116" s="27"/>
      <c r="E116" s="10"/>
      <c r="F116" s="10"/>
      <c r="G116" s="11"/>
    </row>
    <row r="117" customFormat="false" ht="15" hidden="false" customHeight="false" outlineLevel="0" collapsed="false">
      <c r="A117" s="11"/>
      <c r="B117" s="10"/>
      <c r="C117" s="10"/>
      <c r="D117" s="27"/>
      <c r="E117" s="10"/>
      <c r="F117" s="10"/>
      <c r="G117" s="11"/>
    </row>
    <row r="118" customFormat="false" ht="15" hidden="false" customHeight="false" outlineLevel="0" collapsed="false">
      <c r="A118" s="11"/>
      <c r="B118" s="10"/>
      <c r="C118" s="10"/>
      <c r="D118" s="27"/>
      <c r="E118" s="10"/>
      <c r="F118" s="10"/>
      <c r="G118" s="11"/>
    </row>
    <row r="119" customFormat="false" ht="15" hidden="false" customHeight="false" outlineLevel="0" collapsed="false">
      <c r="A119" s="11"/>
      <c r="B119" s="10"/>
      <c r="C119" s="10"/>
      <c r="D119" s="27"/>
      <c r="E119" s="10"/>
      <c r="F119" s="10"/>
      <c r="G119" s="11"/>
    </row>
    <row r="120" customFormat="false" ht="15" hidden="false" customHeight="false" outlineLevel="0" collapsed="false">
      <c r="A120" s="11"/>
      <c r="B120" s="10"/>
      <c r="C120" s="10"/>
      <c r="D120" s="27"/>
      <c r="E120" s="10"/>
      <c r="F120" s="10"/>
      <c r="G120" s="11"/>
    </row>
    <row r="121" customFormat="false" ht="15" hidden="false" customHeight="false" outlineLevel="0" collapsed="false">
      <c r="A121" s="11"/>
      <c r="B121" s="10"/>
      <c r="C121" s="10"/>
      <c r="D121" s="27"/>
      <c r="E121" s="10"/>
      <c r="F121" s="10"/>
      <c r="G121" s="11"/>
    </row>
    <row r="122" customFormat="false" ht="15" hidden="false" customHeight="false" outlineLevel="0" collapsed="false">
      <c r="A122" s="11"/>
      <c r="B122" s="10"/>
      <c r="C122" s="10"/>
      <c r="D122" s="27"/>
      <c r="E122" s="10"/>
      <c r="F122" s="10"/>
      <c r="G122" s="11"/>
    </row>
    <row r="123" customFormat="false" ht="15" hidden="false" customHeight="false" outlineLevel="0" collapsed="false">
      <c r="A123" s="11"/>
      <c r="B123" s="10"/>
      <c r="C123" s="10"/>
      <c r="D123" s="27"/>
      <c r="E123" s="10"/>
      <c r="F123" s="10"/>
      <c r="G123" s="11"/>
    </row>
    <row r="124" customFormat="false" ht="15" hidden="false" customHeight="false" outlineLevel="0" collapsed="false">
      <c r="A124" s="11"/>
      <c r="B124" s="10"/>
      <c r="C124" s="10"/>
      <c r="D124" s="27"/>
      <c r="E124" s="10"/>
      <c r="F124" s="10"/>
      <c r="G124" s="11"/>
    </row>
    <row r="125" customFormat="false" ht="15" hidden="false" customHeight="false" outlineLevel="0" collapsed="false">
      <c r="A125" s="11"/>
      <c r="B125" s="10"/>
      <c r="C125" s="10"/>
      <c r="D125" s="27"/>
      <c r="E125" s="10"/>
      <c r="F125" s="10"/>
      <c r="G125" s="11"/>
    </row>
    <row r="126" customFormat="false" ht="15" hidden="false" customHeight="false" outlineLevel="0" collapsed="false">
      <c r="A126" s="11"/>
      <c r="B126" s="10"/>
      <c r="C126" s="10"/>
      <c r="D126" s="27"/>
      <c r="E126" s="10"/>
      <c r="F126" s="10"/>
      <c r="G126" s="11"/>
    </row>
    <row r="127" customFormat="false" ht="15" hidden="false" customHeight="false" outlineLevel="0" collapsed="false">
      <c r="A127" s="11"/>
      <c r="B127" s="10"/>
      <c r="C127" s="10"/>
      <c r="D127" s="27"/>
      <c r="E127" s="10"/>
      <c r="F127" s="10"/>
      <c r="G127" s="11"/>
    </row>
    <row r="128" customFormat="false" ht="15" hidden="false" customHeight="false" outlineLevel="0" collapsed="false">
      <c r="A128" s="11"/>
      <c r="B128" s="10"/>
      <c r="C128" s="10"/>
      <c r="D128" s="27"/>
      <c r="E128" s="10"/>
      <c r="F128" s="10"/>
      <c r="G128" s="11"/>
    </row>
    <row r="129" customFormat="false" ht="15" hidden="false" customHeight="false" outlineLevel="0" collapsed="false">
      <c r="A129" s="11"/>
      <c r="B129" s="10"/>
      <c r="C129" s="10"/>
      <c r="D129" s="27"/>
      <c r="E129" s="10"/>
      <c r="F129" s="10"/>
      <c r="G129" s="11"/>
    </row>
    <row r="130" customFormat="false" ht="15" hidden="false" customHeight="false" outlineLevel="0" collapsed="false">
      <c r="A130" s="11"/>
      <c r="B130" s="10"/>
      <c r="C130" s="10"/>
      <c r="D130" s="27"/>
      <c r="E130" s="10"/>
      <c r="F130" s="10"/>
      <c r="G130" s="11"/>
    </row>
    <row r="131" customFormat="false" ht="15" hidden="false" customHeight="false" outlineLevel="0" collapsed="false">
      <c r="A131" s="11"/>
      <c r="B131" s="10"/>
      <c r="C131" s="10"/>
      <c r="D131" s="27"/>
      <c r="E131" s="10"/>
      <c r="F131" s="10"/>
      <c r="G131" s="11"/>
    </row>
    <row r="132" customFormat="false" ht="15" hidden="false" customHeight="false" outlineLevel="0" collapsed="false">
      <c r="A132" s="11"/>
      <c r="B132" s="10"/>
      <c r="C132" s="10"/>
      <c r="D132" s="27"/>
      <c r="E132" s="10"/>
      <c r="F132" s="10"/>
      <c r="G132" s="11"/>
    </row>
    <row r="133" customFormat="false" ht="15" hidden="false" customHeight="false" outlineLevel="0" collapsed="false">
      <c r="A133" s="11"/>
      <c r="B133" s="10"/>
      <c r="C133" s="10"/>
      <c r="D133" s="27"/>
      <c r="E133" s="10"/>
      <c r="F133" s="10"/>
      <c r="G133" s="11"/>
    </row>
    <row r="134" customFormat="false" ht="15" hidden="false" customHeight="false" outlineLevel="0" collapsed="false">
      <c r="A134" s="11"/>
      <c r="B134" s="10"/>
      <c r="C134" s="10"/>
      <c r="D134" s="27"/>
      <c r="E134" s="10"/>
      <c r="F134" s="10"/>
      <c r="G134" s="11"/>
    </row>
    <row r="135" customFormat="false" ht="15" hidden="false" customHeight="false" outlineLevel="0" collapsed="false">
      <c r="A135" s="11"/>
      <c r="B135" s="10"/>
      <c r="C135" s="10"/>
      <c r="D135" s="27"/>
      <c r="E135" s="10"/>
      <c r="F135" s="10"/>
      <c r="G135" s="11"/>
    </row>
    <row r="136" customFormat="false" ht="15" hidden="false" customHeight="false" outlineLevel="0" collapsed="false">
      <c r="A136" s="11"/>
      <c r="B136" s="10"/>
      <c r="C136" s="10"/>
      <c r="D136" s="27"/>
      <c r="E136" s="10"/>
      <c r="F136" s="10"/>
      <c r="G136" s="11"/>
    </row>
    <row r="137" customFormat="false" ht="15" hidden="false" customHeight="false" outlineLevel="0" collapsed="false">
      <c r="A137" s="11"/>
      <c r="B137" s="10"/>
      <c r="C137" s="10"/>
      <c r="D137" s="27"/>
      <c r="E137" s="10"/>
      <c r="F137" s="10"/>
      <c r="G137" s="11"/>
    </row>
    <row r="138" customFormat="false" ht="15" hidden="false" customHeight="false" outlineLevel="0" collapsed="false">
      <c r="A138" s="11"/>
      <c r="B138" s="10"/>
      <c r="C138" s="10"/>
      <c r="D138" s="27"/>
      <c r="E138" s="10"/>
      <c r="F138" s="10"/>
      <c r="G138" s="11"/>
    </row>
    <row r="139" customFormat="false" ht="15" hidden="false" customHeight="false" outlineLevel="0" collapsed="false">
      <c r="A139" s="11"/>
      <c r="B139" s="10"/>
      <c r="C139" s="10"/>
      <c r="D139" s="27"/>
      <c r="E139" s="10"/>
      <c r="F139" s="10"/>
      <c r="G139" s="11"/>
    </row>
    <row r="140" customFormat="false" ht="15" hidden="false" customHeight="false" outlineLevel="0" collapsed="false">
      <c r="A140" s="11"/>
      <c r="B140" s="10"/>
      <c r="C140" s="10"/>
      <c r="D140" s="27"/>
      <c r="E140" s="10"/>
      <c r="F140" s="10"/>
      <c r="G140" s="11"/>
    </row>
    <row r="141" customFormat="false" ht="15" hidden="false" customHeight="false" outlineLevel="0" collapsed="false">
      <c r="A141" s="11"/>
      <c r="B141" s="10"/>
      <c r="C141" s="10"/>
      <c r="D141" s="27"/>
      <c r="E141" s="10"/>
      <c r="F141" s="10"/>
      <c r="G141" s="11"/>
    </row>
    <row r="142" customFormat="false" ht="15" hidden="false" customHeight="false" outlineLevel="0" collapsed="false">
      <c r="A142" s="11"/>
      <c r="B142" s="10"/>
      <c r="C142" s="10"/>
      <c r="D142" s="27"/>
      <c r="E142" s="10"/>
      <c r="F142" s="10"/>
      <c r="G142" s="11"/>
    </row>
    <row r="143" customFormat="false" ht="15" hidden="false" customHeight="false" outlineLevel="0" collapsed="false">
      <c r="A143" s="11"/>
      <c r="B143" s="10"/>
      <c r="C143" s="10"/>
      <c r="D143" s="27"/>
      <c r="E143" s="10"/>
      <c r="F143" s="10"/>
      <c r="G143" s="11"/>
    </row>
    <row r="144" customFormat="false" ht="15" hidden="false" customHeight="false" outlineLevel="0" collapsed="false">
      <c r="A144" s="11"/>
      <c r="B144" s="10"/>
      <c r="C144" s="10"/>
      <c r="D144" s="27"/>
      <c r="E144" s="10"/>
      <c r="F144" s="10"/>
      <c r="G144" s="11"/>
    </row>
    <row r="145" customFormat="false" ht="15" hidden="false" customHeight="false" outlineLevel="0" collapsed="false">
      <c r="A145" s="11"/>
      <c r="B145" s="10"/>
      <c r="C145" s="10"/>
      <c r="D145" s="27"/>
      <c r="E145" s="10"/>
      <c r="F145" s="10"/>
      <c r="G145" s="11"/>
    </row>
    <row r="146" customFormat="false" ht="15" hidden="false" customHeight="false" outlineLevel="0" collapsed="false">
      <c r="A146" s="11"/>
      <c r="B146" s="10"/>
      <c r="C146" s="10"/>
      <c r="D146" s="27"/>
      <c r="E146" s="10"/>
      <c r="F146" s="10"/>
      <c r="G146" s="11"/>
    </row>
    <row r="147" customFormat="false" ht="15" hidden="false" customHeight="false" outlineLevel="0" collapsed="false">
      <c r="A147" s="11"/>
      <c r="B147" s="10"/>
      <c r="C147" s="10"/>
      <c r="D147" s="27"/>
      <c r="E147" s="10"/>
      <c r="F147" s="10"/>
      <c r="G147" s="11"/>
    </row>
    <row r="148" customFormat="false" ht="15" hidden="false" customHeight="false" outlineLevel="0" collapsed="false">
      <c r="A148" s="11"/>
      <c r="B148" s="10"/>
      <c r="C148" s="10"/>
      <c r="D148" s="27"/>
      <c r="E148" s="10"/>
      <c r="F148" s="10"/>
      <c r="G148" s="11"/>
    </row>
    <row r="149" customFormat="false" ht="15" hidden="false" customHeight="false" outlineLevel="0" collapsed="false">
      <c r="A149" s="11"/>
      <c r="B149" s="10"/>
      <c r="C149" s="10"/>
      <c r="D149" s="27"/>
      <c r="E149" s="10"/>
      <c r="F149" s="10"/>
      <c r="G149" s="11"/>
    </row>
    <row r="150" customFormat="false" ht="15" hidden="false" customHeight="false" outlineLevel="0" collapsed="false">
      <c r="A150" s="11"/>
      <c r="B150" s="10"/>
      <c r="C150" s="10"/>
      <c r="D150" s="27"/>
      <c r="E150" s="10"/>
      <c r="F150" s="10"/>
      <c r="G150" s="11"/>
    </row>
    <row r="151" customFormat="false" ht="15" hidden="false" customHeight="false" outlineLevel="0" collapsed="false">
      <c r="A151" s="11"/>
      <c r="B151" s="10"/>
      <c r="C151" s="10"/>
      <c r="D151" s="27"/>
      <c r="E151" s="10"/>
      <c r="F151" s="10"/>
      <c r="G151" s="11"/>
    </row>
    <row r="152" customFormat="false" ht="15" hidden="false" customHeight="false" outlineLevel="0" collapsed="false">
      <c r="A152" s="11"/>
      <c r="B152" s="10"/>
      <c r="C152" s="10"/>
      <c r="D152" s="27"/>
      <c r="E152" s="10"/>
      <c r="F152" s="10"/>
      <c r="G152" s="11"/>
    </row>
    <row r="153" customFormat="false" ht="15" hidden="false" customHeight="false" outlineLevel="0" collapsed="false">
      <c r="A153" s="11"/>
      <c r="B153" s="10"/>
      <c r="C153" s="10"/>
      <c r="D153" s="27"/>
      <c r="E153" s="10"/>
      <c r="F153" s="10"/>
      <c r="G153" s="11"/>
    </row>
    <row r="154" customFormat="false" ht="15" hidden="false" customHeight="false" outlineLevel="0" collapsed="false">
      <c r="A154" s="11"/>
      <c r="B154" s="10"/>
      <c r="C154" s="10"/>
      <c r="D154" s="27"/>
      <c r="E154" s="10"/>
      <c r="F154" s="10"/>
      <c r="G154" s="11"/>
    </row>
  </sheetData>
  <conditionalFormatting sqref="D5:D154">
    <cfRule type="cellIs" priority="2" operator="equal" aboveAverage="0" equalAverage="0" bottom="0" percent="0" rank="0" text="" dxfId="0">
      <formula>"Compliant"</formula>
    </cfRule>
    <cfRule type="cellIs" priority="3" operator="equal" aboveAverage="0" equalAverage="0" bottom="0" percent="0" rank="0" text="" dxfId="2">
      <formula>"Non-compliant"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C5:C154" type="list">
      <formula1>Lists!$L$2:$L$11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154" type="list">
      <formula1>Lists!$C$2:$C$3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244</v>
      </c>
      <c r="B1" s="2"/>
      <c r="C1" s="2"/>
      <c r="D1" s="2"/>
    </row>
    <row r="2" customFormat="false" ht="15" hidden="false" customHeight="false" outlineLevel="0" collapsed="false">
      <c r="A2" s="3" t="s">
        <v>245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9" t="s">
        <v>246</v>
      </c>
      <c r="B4" s="10" t="s">
        <v>247</v>
      </c>
      <c r="C4" s="10"/>
      <c r="D4" s="2"/>
    </row>
    <row r="5" customFormat="false" ht="15" hidden="false" customHeight="true" outlineLevel="0" collapsed="false">
      <c r="A5" s="9" t="s">
        <v>126</v>
      </c>
      <c r="B5" s="10" t="s">
        <v>248</v>
      </c>
      <c r="C5" s="10"/>
      <c r="D5" s="2"/>
    </row>
    <row r="6" customFormat="false" ht="15" hidden="false" customHeight="false" outlineLevel="0" collapsed="false">
      <c r="A6" s="9" t="s">
        <v>249</v>
      </c>
      <c r="B6" s="11" t="n">
        <v>46290</v>
      </c>
      <c r="C6" s="11"/>
      <c r="D6" s="2"/>
    </row>
    <row r="7" customFormat="false" ht="15" hidden="false" customHeight="true" outlineLevel="0" collapsed="false">
      <c r="A7" s="9" t="s">
        <v>250</v>
      </c>
      <c r="B7" s="10" t="s">
        <v>237</v>
      </c>
      <c r="C7" s="10"/>
      <c r="D7" s="2"/>
    </row>
    <row r="8" customFormat="false" ht="15" hidden="false" customHeight="false" outlineLevel="0" collapsed="false">
      <c r="A8" s="2"/>
      <c r="B8" s="2"/>
      <c r="C8" s="2"/>
      <c r="D8" s="2"/>
    </row>
    <row r="9" customFormat="false" ht="31.5" hidden="false" customHeight="true" outlineLevel="0" collapsed="false">
      <c r="A9" s="13" t="s">
        <v>43</v>
      </c>
      <c r="B9" s="13" t="s">
        <v>251</v>
      </c>
      <c r="C9" s="13" t="s">
        <v>252</v>
      </c>
      <c r="D9" s="13" t="s">
        <v>253</v>
      </c>
    </row>
    <row r="10" customFormat="false" ht="15" hidden="false" customHeight="false" outlineLevel="0" collapsed="false">
      <c r="A10" s="14" t="n">
        <v>1</v>
      </c>
      <c r="B10" s="6" t="s">
        <v>254</v>
      </c>
      <c r="C10" s="27" t="s">
        <v>105</v>
      </c>
      <c r="D10" s="10"/>
    </row>
    <row r="11" customFormat="false" ht="15" hidden="false" customHeight="false" outlineLevel="0" collapsed="false">
      <c r="A11" s="14" t="n">
        <v>2</v>
      </c>
      <c r="B11" s="6" t="s">
        <v>255</v>
      </c>
      <c r="C11" s="27" t="s">
        <v>105</v>
      </c>
      <c r="D11" s="10"/>
    </row>
    <row r="12" customFormat="false" ht="15" hidden="false" customHeight="false" outlineLevel="0" collapsed="false">
      <c r="A12" s="14" t="n">
        <v>3</v>
      </c>
      <c r="B12" s="6" t="s">
        <v>256</v>
      </c>
      <c r="C12" s="27" t="s">
        <v>105</v>
      </c>
      <c r="D12" s="10"/>
    </row>
    <row r="13" customFormat="false" ht="15" hidden="false" customHeight="false" outlineLevel="0" collapsed="false">
      <c r="A13" s="14" t="n">
        <v>4</v>
      </c>
      <c r="B13" s="6" t="s">
        <v>257</v>
      </c>
      <c r="C13" s="27" t="s">
        <v>105</v>
      </c>
      <c r="D13" s="10"/>
    </row>
    <row r="14" customFormat="false" ht="15" hidden="false" customHeight="false" outlineLevel="0" collapsed="false">
      <c r="A14" s="14" t="n">
        <v>5</v>
      </c>
      <c r="B14" s="6" t="s">
        <v>258</v>
      </c>
      <c r="C14" s="27" t="s">
        <v>105</v>
      </c>
      <c r="D14" s="10"/>
    </row>
    <row r="15" customFormat="false" ht="15" hidden="false" customHeight="false" outlineLevel="0" collapsed="false">
      <c r="A15" s="14" t="n">
        <v>6</v>
      </c>
      <c r="B15" s="6" t="s">
        <v>259</v>
      </c>
      <c r="C15" s="27" t="s">
        <v>105</v>
      </c>
      <c r="D15" s="10"/>
    </row>
    <row r="16" customFormat="false" ht="15" hidden="false" customHeight="false" outlineLevel="0" collapsed="false">
      <c r="A16" s="14" t="n">
        <v>7</v>
      </c>
      <c r="B16" s="6" t="s">
        <v>260</v>
      </c>
      <c r="C16" s="27" t="s">
        <v>105</v>
      </c>
      <c r="D16" s="10"/>
    </row>
    <row r="17" customFormat="false" ht="15" hidden="false" customHeight="false" outlineLevel="0" collapsed="false">
      <c r="A17" s="14" t="n">
        <v>8</v>
      </c>
      <c r="B17" s="6" t="s">
        <v>261</v>
      </c>
      <c r="C17" s="27" t="s">
        <v>107</v>
      </c>
      <c r="D17" s="10" t="s">
        <v>262</v>
      </c>
    </row>
    <row r="18" customFormat="false" ht="15" hidden="false" customHeight="false" outlineLevel="0" collapsed="false">
      <c r="A18" s="14" t="n">
        <v>9</v>
      </c>
      <c r="B18" s="6" t="s">
        <v>263</v>
      </c>
      <c r="C18" s="27" t="s">
        <v>105</v>
      </c>
      <c r="D18" s="10"/>
    </row>
    <row r="19" customFormat="false" ht="15" hidden="false" customHeight="false" outlineLevel="0" collapsed="false">
      <c r="A19" s="14" t="n">
        <v>10</v>
      </c>
      <c r="B19" s="6" t="s">
        <v>264</v>
      </c>
      <c r="C19" s="27" t="s">
        <v>105</v>
      </c>
      <c r="D19" s="10"/>
    </row>
    <row r="20" customFormat="false" ht="15" hidden="false" customHeight="false" outlineLevel="0" collapsed="false">
      <c r="A20" s="14" t="n">
        <v>11</v>
      </c>
      <c r="B20" s="6" t="s">
        <v>265</v>
      </c>
      <c r="C20" s="27" t="s">
        <v>266</v>
      </c>
      <c r="D20" s="10"/>
    </row>
    <row r="21" customFormat="false" ht="15" hidden="false" customHeight="false" outlineLevel="0" collapsed="false">
      <c r="A21" s="14" t="n">
        <v>12</v>
      </c>
      <c r="B21" s="6" t="s">
        <v>267</v>
      </c>
      <c r="C21" s="27" t="s">
        <v>105</v>
      </c>
      <c r="D21" s="10"/>
    </row>
    <row r="22" customFormat="false" ht="15" hidden="false" customHeight="false" outlineLevel="0" collapsed="false">
      <c r="A22" s="14" t="n">
        <v>13</v>
      </c>
      <c r="B22" s="6" t="s">
        <v>268</v>
      </c>
      <c r="C22" s="27" t="s">
        <v>105</v>
      </c>
      <c r="D22" s="10"/>
    </row>
    <row r="23" customFormat="false" ht="15" hidden="false" customHeight="false" outlineLevel="0" collapsed="false">
      <c r="A23" s="14" t="n">
        <v>14</v>
      </c>
      <c r="B23" s="6" t="s">
        <v>269</v>
      </c>
      <c r="C23" s="27" t="s">
        <v>105</v>
      </c>
      <c r="D23" s="10"/>
    </row>
    <row r="24" customFormat="false" ht="15" hidden="false" customHeight="false" outlineLevel="0" collapsed="false">
      <c r="A24" s="14" t="n">
        <v>15</v>
      </c>
      <c r="B24" s="6" t="s">
        <v>270</v>
      </c>
      <c r="C24" s="27" t="s">
        <v>105</v>
      </c>
      <c r="D24" s="10"/>
    </row>
    <row r="25" customFormat="false" ht="15" hidden="false" customHeight="false" outlineLevel="0" collapsed="false">
      <c r="A25" s="2"/>
      <c r="B25" s="2"/>
      <c r="C25" s="2"/>
      <c r="D25" s="2"/>
    </row>
    <row r="26" customFormat="false" ht="15" hidden="false" customHeight="false" outlineLevel="0" collapsed="false">
      <c r="A26" s="2"/>
      <c r="B26" s="9" t="s">
        <v>271</v>
      </c>
      <c r="C26" s="26" t="n">
        <f aca="false">COUNTIF(C10:C24,"Yes")+COUNTIF(C10:C24,"No")</f>
        <v>14</v>
      </c>
      <c r="D26" s="2"/>
    </row>
    <row r="27" customFormat="false" ht="15" hidden="false" customHeight="false" outlineLevel="0" collapsed="false">
      <c r="A27" s="2"/>
      <c r="B27" s="9" t="s">
        <v>272</v>
      </c>
      <c r="C27" s="26" t="n">
        <f aca="false">COUNTIF(C10:C24,"Yes")</f>
        <v>13</v>
      </c>
      <c r="D27" s="2"/>
    </row>
    <row r="28" customFormat="false" ht="15" hidden="false" customHeight="false" outlineLevel="0" collapsed="false">
      <c r="A28" s="2"/>
      <c r="B28" s="9" t="s">
        <v>273</v>
      </c>
      <c r="C28" s="32" t="n">
        <f aca="false">IFERROR(C27/C26,"")</f>
        <v>0.928571428571429</v>
      </c>
      <c r="D28" s="2"/>
    </row>
    <row r="29" customFormat="false" ht="15" hidden="false" customHeight="false" outlineLevel="0" collapsed="false">
      <c r="A29" s="2"/>
      <c r="B29" s="9" t="s">
        <v>274</v>
      </c>
      <c r="C29" s="19" t="str">
        <f aca="false">IF(COUNTBLANK(C10:C24)&gt;0,"INCOMPLETE CHECK",IF(C27=C26,"READY","REPLENISH"))</f>
        <v>REPLENISH</v>
      </c>
      <c r="D29" s="19"/>
    </row>
  </sheetData>
  <mergeCells count="5">
    <mergeCell ref="B4:C4"/>
    <mergeCell ref="B5:C5"/>
    <mergeCell ref="B6:C6"/>
    <mergeCell ref="B7:C7"/>
    <mergeCell ref="C29:D29"/>
  </mergeCells>
  <conditionalFormatting sqref="C10:C24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"N/A"</formula>
    </cfRule>
    <cfRule type="cellIs" priority="4" operator="equal" aboveAverage="0" equalAverage="0" bottom="0" percent="0" rank="0" text="" dxfId="2">
      <formula>"No"</formula>
    </cfRule>
  </conditionalFormatting>
  <conditionalFormatting sqref="C29">
    <cfRule type="cellIs" priority="5" operator="equal" aboveAverage="0" equalAverage="0" bottom="0" percent="0" rank="0" text="" dxfId="0">
      <formula>"READY"</formula>
    </cfRule>
    <cfRule type="cellIs" priority="6" operator="equal" aboveAverage="0" equalAverage="0" bottom="0" percent="0" rank="0" text="" dxfId="1">
      <formula>"INCOMPLETE CHECK"</formula>
    </cfRule>
    <cfRule type="cellIs" priority="7" operator="equal" aboveAverage="0" equalAverage="0" bottom="0" percent="0" rank="0" text="" dxfId="2">
      <formula>"REPLENISH"</formula>
    </cfRule>
  </conditionalFormatting>
  <dataValidations count="1">
    <dataValidation allowBlank="true" error="Please choose a value from the list." errorStyle="stop" errorTitle="Invalid entry" operator="between" showDropDown="false" showErrorMessage="false" showInputMessage="false" sqref="C10:C24" type="list">
      <formula1>Lists!$B$2:$B$4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32"/>
  </cols>
  <sheetData>
    <row r="1" customFormat="false" ht="19.7" hidden="false" customHeight="false" outlineLevel="0" collapsed="false">
      <c r="A1" s="1" t="s">
        <v>275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276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</row>
    <row r="4" customFormat="false" ht="31.5" hidden="false" customHeight="true" outlineLevel="0" collapsed="false">
      <c r="A4" s="13" t="s">
        <v>246</v>
      </c>
      <c r="B4" s="13" t="s">
        <v>126</v>
      </c>
      <c r="C4" s="13" t="s">
        <v>277</v>
      </c>
      <c r="D4" s="13" t="s">
        <v>278</v>
      </c>
      <c r="E4" s="13" t="s">
        <v>279</v>
      </c>
      <c r="F4" s="13" t="s">
        <v>280</v>
      </c>
      <c r="G4" s="13" t="s">
        <v>281</v>
      </c>
      <c r="H4" s="13" t="s">
        <v>282</v>
      </c>
      <c r="I4" s="13" t="s">
        <v>283</v>
      </c>
    </row>
    <row r="5" customFormat="false" ht="26.85" hidden="false" customHeight="false" outlineLevel="0" collapsed="false">
      <c r="A5" s="10" t="s">
        <v>247</v>
      </c>
      <c r="B5" s="10" t="s">
        <v>248</v>
      </c>
      <c r="C5" s="11" t="n">
        <v>46259</v>
      </c>
      <c r="D5" s="11" t="n">
        <v>46260</v>
      </c>
      <c r="E5" s="27" t="s">
        <v>105</v>
      </c>
      <c r="F5" s="27" t="s">
        <v>266</v>
      </c>
      <c r="G5" s="19" t="str">
        <f aca="false">IF(C5="","",IF(D5&lt;&gt;"","Completed",IF(C5&lt;Dashboard!$C$5,"Missed",IF(C5-Dashboard!$C$5&lt;=Lists!$O$3,"Due soon","Scheduled"))))</f>
        <v>Completed</v>
      </c>
      <c r="H5" s="33" t="n">
        <f aca="false">IF(C5="","",IF(D5&lt;&gt;"",D5,C5)+Lists!$O$2)</f>
        <v>46290</v>
      </c>
      <c r="I5" s="10" t="s">
        <v>237</v>
      </c>
    </row>
    <row r="6" customFormat="false" ht="26.85" hidden="false" customHeight="false" outlineLevel="0" collapsed="false">
      <c r="A6" s="10" t="s">
        <v>247</v>
      </c>
      <c r="B6" s="10" t="s">
        <v>248</v>
      </c>
      <c r="C6" s="11" t="n">
        <v>46290</v>
      </c>
      <c r="D6" s="11" t="n">
        <v>46290</v>
      </c>
      <c r="E6" s="27" t="s">
        <v>107</v>
      </c>
      <c r="F6" s="27" t="s">
        <v>107</v>
      </c>
      <c r="G6" s="19" t="str">
        <f aca="false">IF(C6="","",IF(D6&lt;&gt;"","Completed",IF(C6&lt;Dashboard!$C$5,"Missed",IF(C6-Dashboard!$C$5&lt;=Lists!$O$3,"Due soon","Scheduled"))))</f>
        <v>Completed</v>
      </c>
      <c r="H6" s="33" t="n">
        <f aca="false">IF(C6="","",IF(D6&lt;&gt;"",D6,C6)+Lists!$O$2)</f>
        <v>46320</v>
      </c>
      <c r="I6" s="10" t="s">
        <v>284</v>
      </c>
    </row>
    <row r="7" customFormat="false" ht="15" hidden="false" customHeight="false" outlineLevel="0" collapsed="false">
      <c r="A7" s="10"/>
      <c r="B7" s="10"/>
      <c r="C7" s="11"/>
      <c r="D7" s="11"/>
      <c r="E7" s="27"/>
      <c r="F7" s="27"/>
      <c r="G7" s="19" t="str">
        <f aca="false">IF(C7="","",IF(D7&lt;&gt;"","Completed",IF(C7&lt;Dashboard!$C$5,"Missed",IF(C7-Dashboard!$C$5&lt;=Lists!$O$3,"Due soon","Scheduled"))))</f>
        <v/>
      </c>
      <c r="H7" s="33" t="str">
        <f aca="false">IF(C7="","",IF(D7&lt;&gt;"",D7,C7)+Lists!$O$2)</f>
        <v/>
      </c>
      <c r="I7" s="10"/>
    </row>
    <row r="8" customFormat="false" ht="15" hidden="false" customHeight="false" outlineLevel="0" collapsed="false">
      <c r="A8" s="10"/>
      <c r="B8" s="10"/>
      <c r="C8" s="11"/>
      <c r="D8" s="11"/>
      <c r="E8" s="27"/>
      <c r="F8" s="27"/>
      <c r="G8" s="19" t="str">
        <f aca="false">IF(C8="","",IF(D8&lt;&gt;"","Completed",IF(C8&lt;Dashboard!$C$5,"Missed",IF(C8-Dashboard!$C$5&lt;=Lists!$O$3,"Due soon","Scheduled"))))</f>
        <v/>
      </c>
      <c r="H8" s="33" t="str">
        <f aca="false">IF(C8="","",IF(D8&lt;&gt;"",D8,C8)+Lists!$O$2)</f>
        <v/>
      </c>
      <c r="I8" s="10"/>
    </row>
    <row r="9" customFormat="false" ht="15" hidden="false" customHeight="false" outlineLevel="0" collapsed="false">
      <c r="A9" s="10"/>
      <c r="B9" s="10"/>
      <c r="C9" s="11"/>
      <c r="D9" s="11"/>
      <c r="E9" s="27"/>
      <c r="F9" s="27"/>
      <c r="G9" s="19" t="str">
        <f aca="false">IF(C9="","",IF(D9&lt;&gt;"","Completed",IF(C9&lt;Dashboard!$C$5,"Missed",IF(C9-Dashboard!$C$5&lt;=Lists!$O$3,"Due soon","Scheduled"))))</f>
        <v/>
      </c>
      <c r="H9" s="33" t="str">
        <f aca="false">IF(C9="","",IF(D9&lt;&gt;"",D9,C9)+Lists!$O$2)</f>
        <v/>
      </c>
      <c r="I9" s="10"/>
    </row>
    <row r="10" customFormat="false" ht="15" hidden="false" customHeight="false" outlineLevel="0" collapsed="false">
      <c r="A10" s="10"/>
      <c r="B10" s="10"/>
      <c r="C10" s="11"/>
      <c r="D10" s="11"/>
      <c r="E10" s="27"/>
      <c r="F10" s="27"/>
      <c r="G10" s="19" t="str">
        <f aca="false">IF(C10="","",IF(D10&lt;&gt;"","Completed",IF(C10&lt;Dashboard!$C$5,"Missed",IF(C10-Dashboard!$C$5&lt;=Lists!$O$3,"Due soon","Scheduled"))))</f>
        <v/>
      </c>
      <c r="H10" s="33" t="str">
        <f aca="false">IF(C10="","",IF(D10&lt;&gt;"",D10,C10)+Lists!$O$2)</f>
        <v/>
      </c>
      <c r="I10" s="10"/>
    </row>
    <row r="11" customFormat="false" ht="15" hidden="false" customHeight="false" outlineLevel="0" collapsed="false">
      <c r="A11" s="10"/>
      <c r="B11" s="10"/>
      <c r="C11" s="11"/>
      <c r="D11" s="11"/>
      <c r="E11" s="27"/>
      <c r="F11" s="27"/>
      <c r="G11" s="19" t="str">
        <f aca="false">IF(C11="","",IF(D11&lt;&gt;"","Completed",IF(C11&lt;Dashboard!$C$5,"Missed",IF(C11-Dashboard!$C$5&lt;=Lists!$O$3,"Due soon","Scheduled"))))</f>
        <v/>
      </c>
      <c r="H11" s="33" t="str">
        <f aca="false">IF(C11="","",IF(D11&lt;&gt;"",D11,C11)+Lists!$O$2)</f>
        <v/>
      </c>
      <c r="I11" s="10"/>
    </row>
    <row r="12" customFormat="false" ht="15" hidden="false" customHeight="false" outlineLevel="0" collapsed="false">
      <c r="A12" s="10"/>
      <c r="B12" s="10"/>
      <c r="C12" s="11"/>
      <c r="D12" s="11"/>
      <c r="E12" s="27"/>
      <c r="F12" s="27"/>
      <c r="G12" s="19" t="str">
        <f aca="false">IF(C12="","",IF(D12&lt;&gt;"","Completed",IF(C12&lt;Dashboard!$C$5,"Missed",IF(C12-Dashboard!$C$5&lt;=Lists!$O$3,"Due soon","Scheduled"))))</f>
        <v/>
      </c>
      <c r="H12" s="33" t="str">
        <f aca="false">IF(C12="","",IF(D12&lt;&gt;"",D12,C12)+Lists!$O$2)</f>
        <v/>
      </c>
      <c r="I12" s="10"/>
    </row>
    <row r="13" customFormat="false" ht="15" hidden="false" customHeight="false" outlineLevel="0" collapsed="false">
      <c r="A13" s="10"/>
      <c r="B13" s="10"/>
      <c r="C13" s="11"/>
      <c r="D13" s="11"/>
      <c r="E13" s="27"/>
      <c r="F13" s="27"/>
      <c r="G13" s="19" t="str">
        <f aca="false">IF(C13="","",IF(D13&lt;&gt;"","Completed",IF(C13&lt;Dashboard!$C$5,"Missed",IF(C13-Dashboard!$C$5&lt;=Lists!$O$3,"Due soon","Scheduled"))))</f>
        <v/>
      </c>
      <c r="H13" s="33" t="str">
        <f aca="false">IF(C13="","",IF(D13&lt;&gt;"",D13,C13)+Lists!$O$2)</f>
        <v/>
      </c>
      <c r="I13" s="10"/>
    </row>
    <row r="14" customFormat="false" ht="15" hidden="false" customHeight="false" outlineLevel="0" collapsed="false">
      <c r="A14" s="10"/>
      <c r="B14" s="10"/>
      <c r="C14" s="11"/>
      <c r="D14" s="11"/>
      <c r="E14" s="27"/>
      <c r="F14" s="27"/>
      <c r="G14" s="19" t="str">
        <f aca="false">IF(C14="","",IF(D14&lt;&gt;"","Completed",IF(C14&lt;Dashboard!$C$5,"Missed",IF(C14-Dashboard!$C$5&lt;=Lists!$O$3,"Due soon","Scheduled"))))</f>
        <v/>
      </c>
      <c r="H14" s="33" t="str">
        <f aca="false">IF(C14="","",IF(D14&lt;&gt;"",D14,C14)+Lists!$O$2)</f>
        <v/>
      </c>
      <c r="I14" s="10"/>
    </row>
    <row r="15" customFormat="false" ht="15" hidden="false" customHeight="false" outlineLevel="0" collapsed="false">
      <c r="A15" s="10"/>
      <c r="B15" s="10"/>
      <c r="C15" s="11"/>
      <c r="D15" s="11"/>
      <c r="E15" s="27"/>
      <c r="F15" s="27"/>
      <c r="G15" s="19" t="str">
        <f aca="false">IF(C15="","",IF(D15&lt;&gt;"","Completed",IF(C15&lt;Dashboard!$C$5,"Missed",IF(C15-Dashboard!$C$5&lt;=Lists!$O$3,"Due soon","Scheduled"))))</f>
        <v/>
      </c>
      <c r="H15" s="33" t="str">
        <f aca="false">IF(C15="","",IF(D15&lt;&gt;"",D15,C15)+Lists!$O$2)</f>
        <v/>
      </c>
      <c r="I15" s="10"/>
    </row>
    <row r="16" customFormat="false" ht="15" hidden="false" customHeight="false" outlineLevel="0" collapsed="false">
      <c r="A16" s="10"/>
      <c r="B16" s="10"/>
      <c r="C16" s="11"/>
      <c r="D16" s="11"/>
      <c r="E16" s="27"/>
      <c r="F16" s="27"/>
      <c r="G16" s="19" t="str">
        <f aca="false">IF(C16="","",IF(D16&lt;&gt;"","Completed",IF(C16&lt;Dashboard!$C$5,"Missed",IF(C16-Dashboard!$C$5&lt;=Lists!$O$3,"Due soon","Scheduled"))))</f>
        <v/>
      </c>
      <c r="H16" s="33" t="str">
        <f aca="false">IF(C16="","",IF(D16&lt;&gt;"",D16,C16)+Lists!$O$2)</f>
        <v/>
      </c>
      <c r="I16" s="10"/>
    </row>
    <row r="17" customFormat="false" ht="15" hidden="false" customHeight="false" outlineLevel="0" collapsed="false">
      <c r="A17" s="10"/>
      <c r="B17" s="10"/>
      <c r="C17" s="11"/>
      <c r="D17" s="11"/>
      <c r="E17" s="27"/>
      <c r="F17" s="27"/>
      <c r="G17" s="19" t="str">
        <f aca="false">IF(C17="","",IF(D17&lt;&gt;"","Completed",IF(C17&lt;Dashboard!$C$5,"Missed",IF(C17-Dashboard!$C$5&lt;=Lists!$O$3,"Due soon","Scheduled"))))</f>
        <v/>
      </c>
      <c r="H17" s="33" t="str">
        <f aca="false">IF(C17="","",IF(D17&lt;&gt;"",D17,C17)+Lists!$O$2)</f>
        <v/>
      </c>
      <c r="I17" s="10"/>
    </row>
    <row r="18" customFormat="false" ht="15" hidden="false" customHeight="false" outlineLevel="0" collapsed="false">
      <c r="A18" s="10"/>
      <c r="B18" s="10"/>
      <c r="C18" s="11"/>
      <c r="D18" s="11"/>
      <c r="E18" s="27"/>
      <c r="F18" s="27"/>
      <c r="G18" s="19" t="str">
        <f aca="false">IF(C18="","",IF(D18&lt;&gt;"","Completed",IF(C18&lt;Dashboard!$C$5,"Missed",IF(C18-Dashboard!$C$5&lt;=Lists!$O$3,"Due soon","Scheduled"))))</f>
        <v/>
      </c>
      <c r="H18" s="33" t="str">
        <f aca="false">IF(C18="","",IF(D18&lt;&gt;"",D18,C18)+Lists!$O$2)</f>
        <v/>
      </c>
      <c r="I18" s="10"/>
    </row>
    <row r="19" customFormat="false" ht="15" hidden="false" customHeight="false" outlineLevel="0" collapsed="false">
      <c r="A19" s="10"/>
      <c r="B19" s="10"/>
      <c r="C19" s="11"/>
      <c r="D19" s="11"/>
      <c r="E19" s="27"/>
      <c r="F19" s="27"/>
      <c r="G19" s="19" t="str">
        <f aca="false">IF(C19="","",IF(D19&lt;&gt;"","Completed",IF(C19&lt;Dashboard!$C$5,"Missed",IF(C19-Dashboard!$C$5&lt;=Lists!$O$3,"Due soon","Scheduled"))))</f>
        <v/>
      </c>
      <c r="H19" s="33" t="str">
        <f aca="false">IF(C19="","",IF(D19&lt;&gt;"",D19,C19)+Lists!$O$2)</f>
        <v/>
      </c>
      <c r="I19" s="10"/>
    </row>
    <row r="20" customFormat="false" ht="15" hidden="false" customHeight="false" outlineLevel="0" collapsed="false">
      <c r="A20" s="10"/>
      <c r="B20" s="10"/>
      <c r="C20" s="11"/>
      <c r="D20" s="11"/>
      <c r="E20" s="27"/>
      <c r="F20" s="27"/>
      <c r="G20" s="19" t="str">
        <f aca="false">IF(C20="","",IF(D20&lt;&gt;"","Completed",IF(C20&lt;Dashboard!$C$5,"Missed",IF(C20-Dashboard!$C$5&lt;=Lists!$O$3,"Due soon","Scheduled"))))</f>
        <v/>
      </c>
      <c r="H20" s="33" t="str">
        <f aca="false">IF(C20="","",IF(D20&lt;&gt;"",D20,C20)+Lists!$O$2)</f>
        <v/>
      </c>
      <c r="I20" s="10"/>
    </row>
    <row r="21" customFormat="false" ht="15" hidden="false" customHeight="false" outlineLevel="0" collapsed="false">
      <c r="A21" s="10"/>
      <c r="B21" s="10"/>
      <c r="C21" s="11"/>
      <c r="D21" s="11"/>
      <c r="E21" s="27"/>
      <c r="F21" s="27"/>
      <c r="G21" s="19" t="str">
        <f aca="false">IF(C21="","",IF(D21&lt;&gt;"","Completed",IF(C21&lt;Dashboard!$C$5,"Missed",IF(C21-Dashboard!$C$5&lt;=Lists!$O$3,"Due soon","Scheduled"))))</f>
        <v/>
      </c>
      <c r="H21" s="33" t="str">
        <f aca="false">IF(C21="","",IF(D21&lt;&gt;"",D21,C21)+Lists!$O$2)</f>
        <v/>
      </c>
      <c r="I21" s="10"/>
    </row>
    <row r="22" customFormat="false" ht="15" hidden="false" customHeight="false" outlineLevel="0" collapsed="false">
      <c r="A22" s="10"/>
      <c r="B22" s="10"/>
      <c r="C22" s="11"/>
      <c r="D22" s="11"/>
      <c r="E22" s="27"/>
      <c r="F22" s="27"/>
      <c r="G22" s="19" t="str">
        <f aca="false">IF(C22="","",IF(D22&lt;&gt;"","Completed",IF(C22&lt;Dashboard!$C$5,"Missed",IF(C22-Dashboard!$C$5&lt;=Lists!$O$3,"Due soon","Scheduled"))))</f>
        <v/>
      </c>
      <c r="H22" s="33" t="str">
        <f aca="false">IF(C22="","",IF(D22&lt;&gt;"",D22,C22)+Lists!$O$2)</f>
        <v/>
      </c>
      <c r="I22" s="10"/>
    </row>
    <row r="23" customFormat="false" ht="15" hidden="false" customHeight="false" outlineLevel="0" collapsed="false">
      <c r="A23" s="10"/>
      <c r="B23" s="10"/>
      <c r="C23" s="11"/>
      <c r="D23" s="11"/>
      <c r="E23" s="27"/>
      <c r="F23" s="27"/>
      <c r="G23" s="19" t="str">
        <f aca="false">IF(C23="","",IF(D23&lt;&gt;"","Completed",IF(C23&lt;Dashboard!$C$5,"Missed",IF(C23-Dashboard!$C$5&lt;=Lists!$O$3,"Due soon","Scheduled"))))</f>
        <v/>
      </c>
      <c r="H23" s="33" t="str">
        <f aca="false">IF(C23="","",IF(D23&lt;&gt;"",D23,C23)+Lists!$O$2)</f>
        <v/>
      </c>
      <c r="I23" s="10"/>
    </row>
    <row r="24" customFormat="false" ht="15" hidden="false" customHeight="false" outlineLevel="0" collapsed="false">
      <c r="A24" s="10"/>
      <c r="B24" s="10"/>
      <c r="C24" s="11"/>
      <c r="D24" s="11"/>
      <c r="E24" s="27"/>
      <c r="F24" s="27"/>
      <c r="G24" s="19" t="str">
        <f aca="false">IF(C24="","",IF(D24&lt;&gt;"","Completed",IF(C24&lt;Dashboard!$C$5,"Missed",IF(C24-Dashboard!$C$5&lt;=Lists!$O$3,"Due soon","Scheduled"))))</f>
        <v/>
      </c>
      <c r="H24" s="33" t="str">
        <f aca="false">IF(C24="","",IF(D24&lt;&gt;"",D24,C24)+Lists!$O$2)</f>
        <v/>
      </c>
      <c r="I24" s="10"/>
    </row>
    <row r="25" customFormat="false" ht="15" hidden="false" customHeight="false" outlineLevel="0" collapsed="false">
      <c r="A25" s="10"/>
      <c r="B25" s="10"/>
      <c r="C25" s="11"/>
      <c r="D25" s="11"/>
      <c r="E25" s="27"/>
      <c r="F25" s="27"/>
      <c r="G25" s="19" t="str">
        <f aca="false">IF(C25="","",IF(D25&lt;&gt;"","Completed",IF(C25&lt;Dashboard!$C$5,"Missed",IF(C25-Dashboard!$C$5&lt;=Lists!$O$3,"Due soon","Scheduled"))))</f>
        <v/>
      </c>
      <c r="H25" s="33" t="str">
        <f aca="false">IF(C25="","",IF(D25&lt;&gt;"",D25,C25)+Lists!$O$2)</f>
        <v/>
      </c>
      <c r="I25" s="10"/>
    </row>
    <row r="26" customFormat="false" ht="15" hidden="false" customHeight="false" outlineLevel="0" collapsed="false">
      <c r="A26" s="10"/>
      <c r="B26" s="10"/>
      <c r="C26" s="11"/>
      <c r="D26" s="11"/>
      <c r="E26" s="27"/>
      <c r="F26" s="27"/>
      <c r="G26" s="19" t="str">
        <f aca="false">IF(C26="","",IF(D26&lt;&gt;"","Completed",IF(C26&lt;Dashboard!$C$5,"Missed",IF(C26-Dashboard!$C$5&lt;=Lists!$O$3,"Due soon","Scheduled"))))</f>
        <v/>
      </c>
      <c r="H26" s="33" t="str">
        <f aca="false">IF(C26="","",IF(D26&lt;&gt;"",D26,C26)+Lists!$O$2)</f>
        <v/>
      </c>
      <c r="I26" s="10"/>
    </row>
    <row r="27" customFormat="false" ht="15" hidden="false" customHeight="false" outlineLevel="0" collapsed="false">
      <c r="A27" s="10"/>
      <c r="B27" s="10"/>
      <c r="C27" s="11"/>
      <c r="D27" s="11"/>
      <c r="E27" s="27"/>
      <c r="F27" s="27"/>
      <c r="G27" s="19" t="str">
        <f aca="false">IF(C27="","",IF(D27&lt;&gt;"","Completed",IF(C27&lt;Dashboard!$C$5,"Missed",IF(C27-Dashboard!$C$5&lt;=Lists!$O$3,"Due soon","Scheduled"))))</f>
        <v/>
      </c>
      <c r="H27" s="33" t="str">
        <f aca="false">IF(C27="","",IF(D27&lt;&gt;"",D27,C27)+Lists!$O$2)</f>
        <v/>
      </c>
      <c r="I27" s="10"/>
    </row>
    <row r="28" customFormat="false" ht="15" hidden="false" customHeight="false" outlineLevel="0" collapsed="false">
      <c r="A28" s="10"/>
      <c r="B28" s="10"/>
      <c r="C28" s="11"/>
      <c r="D28" s="11"/>
      <c r="E28" s="27"/>
      <c r="F28" s="27"/>
      <c r="G28" s="19" t="str">
        <f aca="false">IF(C28="","",IF(D28&lt;&gt;"","Completed",IF(C28&lt;Dashboard!$C$5,"Missed",IF(C28-Dashboard!$C$5&lt;=Lists!$O$3,"Due soon","Scheduled"))))</f>
        <v/>
      </c>
      <c r="H28" s="33" t="str">
        <f aca="false">IF(C28="","",IF(D28&lt;&gt;"",D28,C28)+Lists!$O$2)</f>
        <v/>
      </c>
      <c r="I28" s="10"/>
    </row>
    <row r="29" customFormat="false" ht="15" hidden="false" customHeight="false" outlineLevel="0" collapsed="false">
      <c r="A29" s="10"/>
      <c r="B29" s="10"/>
      <c r="C29" s="11"/>
      <c r="D29" s="11"/>
      <c r="E29" s="27"/>
      <c r="F29" s="27"/>
      <c r="G29" s="19" t="str">
        <f aca="false">IF(C29="","",IF(D29&lt;&gt;"","Completed",IF(C29&lt;Dashboard!$C$5,"Missed",IF(C29-Dashboard!$C$5&lt;=Lists!$O$3,"Due soon","Scheduled"))))</f>
        <v/>
      </c>
      <c r="H29" s="33" t="str">
        <f aca="false">IF(C29="","",IF(D29&lt;&gt;"",D29,C29)+Lists!$O$2)</f>
        <v/>
      </c>
      <c r="I29" s="10"/>
    </row>
    <row r="30" customFormat="false" ht="15" hidden="false" customHeight="false" outlineLevel="0" collapsed="false">
      <c r="A30" s="10"/>
      <c r="B30" s="10"/>
      <c r="C30" s="11"/>
      <c r="D30" s="11"/>
      <c r="E30" s="27"/>
      <c r="F30" s="27"/>
      <c r="G30" s="19" t="str">
        <f aca="false">IF(C30="","",IF(D30&lt;&gt;"","Completed",IF(C30&lt;Dashboard!$C$5,"Missed",IF(C30-Dashboard!$C$5&lt;=Lists!$O$3,"Due soon","Scheduled"))))</f>
        <v/>
      </c>
      <c r="H30" s="33" t="str">
        <f aca="false">IF(C30="","",IF(D30&lt;&gt;"",D30,C30)+Lists!$O$2)</f>
        <v/>
      </c>
      <c r="I30" s="10"/>
    </row>
    <row r="31" customFormat="false" ht="15" hidden="false" customHeight="false" outlineLevel="0" collapsed="false">
      <c r="A31" s="10"/>
      <c r="B31" s="10"/>
      <c r="C31" s="11"/>
      <c r="D31" s="11"/>
      <c r="E31" s="27"/>
      <c r="F31" s="27"/>
      <c r="G31" s="19" t="str">
        <f aca="false">IF(C31="","",IF(D31&lt;&gt;"","Completed",IF(C31&lt;Dashboard!$C$5,"Missed",IF(C31-Dashboard!$C$5&lt;=Lists!$O$3,"Due soon","Scheduled"))))</f>
        <v/>
      </c>
      <c r="H31" s="33" t="str">
        <f aca="false">IF(C31="","",IF(D31&lt;&gt;"",D31,C31)+Lists!$O$2)</f>
        <v/>
      </c>
      <c r="I31" s="10"/>
    </row>
    <row r="32" customFormat="false" ht="15" hidden="false" customHeight="false" outlineLevel="0" collapsed="false">
      <c r="A32" s="10"/>
      <c r="B32" s="10"/>
      <c r="C32" s="11"/>
      <c r="D32" s="11"/>
      <c r="E32" s="27"/>
      <c r="F32" s="27"/>
      <c r="G32" s="19" t="str">
        <f aca="false">IF(C32="","",IF(D32&lt;&gt;"","Completed",IF(C32&lt;Dashboard!$C$5,"Missed",IF(C32-Dashboard!$C$5&lt;=Lists!$O$3,"Due soon","Scheduled"))))</f>
        <v/>
      </c>
      <c r="H32" s="33" t="str">
        <f aca="false">IF(C32="","",IF(D32&lt;&gt;"",D32,C32)+Lists!$O$2)</f>
        <v/>
      </c>
      <c r="I32" s="10"/>
    </row>
    <row r="33" customFormat="false" ht="15" hidden="false" customHeight="false" outlineLevel="0" collapsed="false">
      <c r="A33" s="10"/>
      <c r="B33" s="10"/>
      <c r="C33" s="11"/>
      <c r="D33" s="11"/>
      <c r="E33" s="27"/>
      <c r="F33" s="27"/>
      <c r="G33" s="19" t="str">
        <f aca="false">IF(C33="","",IF(D33&lt;&gt;"","Completed",IF(C33&lt;Dashboard!$C$5,"Missed",IF(C33-Dashboard!$C$5&lt;=Lists!$O$3,"Due soon","Scheduled"))))</f>
        <v/>
      </c>
      <c r="H33" s="33" t="str">
        <f aca="false">IF(C33="","",IF(D33&lt;&gt;"",D33,C33)+Lists!$O$2)</f>
        <v/>
      </c>
      <c r="I33" s="10"/>
    </row>
    <row r="34" customFormat="false" ht="15" hidden="false" customHeight="false" outlineLevel="0" collapsed="false">
      <c r="A34" s="10"/>
      <c r="B34" s="10"/>
      <c r="C34" s="11"/>
      <c r="D34" s="11"/>
      <c r="E34" s="27"/>
      <c r="F34" s="27"/>
      <c r="G34" s="19" t="str">
        <f aca="false">IF(C34="","",IF(D34&lt;&gt;"","Completed",IF(C34&lt;Dashboard!$C$5,"Missed",IF(C34-Dashboard!$C$5&lt;=Lists!$O$3,"Due soon","Scheduled"))))</f>
        <v/>
      </c>
      <c r="H34" s="33" t="str">
        <f aca="false">IF(C34="","",IF(D34&lt;&gt;"",D34,C34)+Lists!$O$2)</f>
        <v/>
      </c>
      <c r="I34" s="10"/>
    </row>
    <row r="35" customFormat="false" ht="15" hidden="false" customHeight="false" outlineLevel="0" collapsed="false">
      <c r="A35" s="10"/>
      <c r="B35" s="10"/>
      <c r="C35" s="11"/>
      <c r="D35" s="11"/>
      <c r="E35" s="27"/>
      <c r="F35" s="27"/>
      <c r="G35" s="19" t="str">
        <f aca="false">IF(C35="","",IF(D35&lt;&gt;"","Completed",IF(C35&lt;Dashboard!$C$5,"Missed",IF(C35-Dashboard!$C$5&lt;=Lists!$O$3,"Due soon","Scheduled"))))</f>
        <v/>
      </c>
      <c r="H35" s="33" t="str">
        <f aca="false">IF(C35="","",IF(D35&lt;&gt;"",D35,C35)+Lists!$O$2)</f>
        <v/>
      </c>
      <c r="I35" s="10"/>
    </row>
    <row r="36" customFormat="false" ht="15" hidden="false" customHeight="false" outlineLevel="0" collapsed="false">
      <c r="A36" s="10"/>
      <c r="B36" s="10"/>
      <c r="C36" s="11"/>
      <c r="D36" s="11"/>
      <c r="E36" s="27"/>
      <c r="F36" s="27"/>
      <c r="G36" s="19" t="str">
        <f aca="false">IF(C36="","",IF(D36&lt;&gt;"","Completed",IF(C36&lt;Dashboard!$C$5,"Missed",IF(C36-Dashboard!$C$5&lt;=Lists!$O$3,"Due soon","Scheduled"))))</f>
        <v/>
      </c>
      <c r="H36" s="33" t="str">
        <f aca="false">IF(C36="","",IF(D36&lt;&gt;"",D36,C36)+Lists!$O$2)</f>
        <v/>
      </c>
      <c r="I36" s="10"/>
    </row>
    <row r="37" customFormat="false" ht="15" hidden="false" customHeight="false" outlineLevel="0" collapsed="false">
      <c r="A37" s="10"/>
      <c r="B37" s="10"/>
      <c r="C37" s="11"/>
      <c r="D37" s="11"/>
      <c r="E37" s="27"/>
      <c r="F37" s="27"/>
      <c r="G37" s="19" t="str">
        <f aca="false">IF(C37="","",IF(D37&lt;&gt;"","Completed",IF(C37&lt;Dashboard!$C$5,"Missed",IF(C37-Dashboard!$C$5&lt;=Lists!$O$3,"Due soon","Scheduled"))))</f>
        <v/>
      </c>
      <c r="H37" s="33" t="str">
        <f aca="false">IF(C37="","",IF(D37&lt;&gt;"",D37,C37)+Lists!$O$2)</f>
        <v/>
      </c>
      <c r="I37" s="10"/>
    </row>
    <row r="38" customFormat="false" ht="15" hidden="false" customHeight="false" outlineLevel="0" collapsed="false">
      <c r="A38" s="10"/>
      <c r="B38" s="10"/>
      <c r="C38" s="11"/>
      <c r="D38" s="11"/>
      <c r="E38" s="27"/>
      <c r="F38" s="27"/>
      <c r="G38" s="19" t="str">
        <f aca="false">IF(C38="","",IF(D38&lt;&gt;"","Completed",IF(C38&lt;Dashboard!$C$5,"Missed",IF(C38-Dashboard!$C$5&lt;=Lists!$O$3,"Due soon","Scheduled"))))</f>
        <v/>
      </c>
      <c r="H38" s="33" t="str">
        <f aca="false">IF(C38="","",IF(D38&lt;&gt;"",D38,C38)+Lists!$O$2)</f>
        <v/>
      </c>
      <c r="I38" s="10"/>
    </row>
    <row r="39" customFormat="false" ht="15" hidden="false" customHeight="false" outlineLevel="0" collapsed="false">
      <c r="A39" s="10"/>
      <c r="B39" s="10"/>
      <c r="C39" s="11"/>
      <c r="D39" s="11"/>
      <c r="E39" s="27"/>
      <c r="F39" s="27"/>
      <c r="G39" s="19" t="str">
        <f aca="false">IF(C39="","",IF(D39&lt;&gt;"","Completed",IF(C39&lt;Dashboard!$C$5,"Missed",IF(C39-Dashboard!$C$5&lt;=Lists!$O$3,"Due soon","Scheduled"))))</f>
        <v/>
      </c>
      <c r="H39" s="33" t="str">
        <f aca="false">IF(C39="","",IF(D39&lt;&gt;"",D39,C39)+Lists!$O$2)</f>
        <v/>
      </c>
      <c r="I39" s="10"/>
    </row>
    <row r="40" customFormat="false" ht="15" hidden="false" customHeight="false" outlineLevel="0" collapsed="false">
      <c r="A40" s="10"/>
      <c r="B40" s="10"/>
      <c r="C40" s="11"/>
      <c r="D40" s="11"/>
      <c r="E40" s="27"/>
      <c r="F40" s="27"/>
      <c r="G40" s="19" t="str">
        <f aca="false">IF(C40="","",IF(D40&lt;&gt;"","Completed",IF(C40&lt;Dashboard!$C$5,"Missed",IF(C40-Dashboard!$C$5&lt;=Lists!$O$3,"Due soon","Scheduled"))))</f>
        <v/>
      </c>
      <c r="H40" s="33" t="str">
        <f aca="false">IF(C40="","",IF(D40&lt;&gt;"",D40,C40)+Lists!$O$2)</f>
        <v/>
      </c>
      <c r="I40" s="10"/>
    </row>
    <row r="41" customFormat="false" ht="15" hidden="false" customHeight="false" outlineLevel="0" collapsed="false">
      <c r="A41" s="10"/>
      <c r="B41" s="10"/>
      <c r="C41" s="11"/>
      <c r="D41" s="11"/>
      <c r="E41" s="27"/>
      <c r="F41" s="27"/>
      <c r="G41" s="19" t="str">
        <f aca="false">IF(C41="","",IF(D41&lt;&gt;"","Completed",IF(C41&lt;Dashboard!$C$5,"Missed",IF(C41-Dashboard!$C$5&lt;=Lists!$O$3,"Due soon","Scheduled"))))</f>
        <v/>
      </c>
      <c r="H41" s="33" t="str">
        <f aca="false">IF(C41="","",IF(D41&lt;&gt;"",D41,C41)+Lists!$O$2)</f>
        <v/>
      </c>
      <c r="I41" s="10"/>
    </row>
    <row r="42" customFormat="false" ht="15" hidden="false" customHeight="false" outlineLevel="0" collapsed="false">
      <c r="A42" s="10"/>
      <c r="B42" s="10"/>
      <c r="C42" s="11"/>
      <c r="D42" s="11"/>
      <c r="E42" s="27"/>
      <c r="F42" s="27"/>
      <c r="G42" s="19" t="str">
        <f aca="false">IF(C42="","",IF(D42&lt;&gt;"","Completed",IF(C42&lt;Dashboard!$C$5,"Missed",IF(C42-Dashboard!$C$5&lt;=Lists!$O$3,"Due soon","Scheduled"))))</f>
        <v/>
      </c>
      <c r="H42" s="33" t="str">
        <f aca="false">IF(C42="","",IF(D42&lt;&gt;"",D42,C42)+Lists!$O$2)</f>
        <v/>
      </c>
      <c r="I42" s="10"/>
    </row>
    <row r="43" customFormat="false" ht="15" hidden="false" customHeight="false" outlineLevel="0" collapsed="false">
      <c r="A43" s="10"/>
      <c r="B43" s="10"/>
      <c r="C43" s="11"/>
      <c r="D43" s="11"/>
      <c r="E43" s="27"/>
      <c r="F43" s="27"/>
      <c r="G43" s="19" t="str">
        <f aca="false">IF(C43="","",IF(D43&lt;&gt;"","Completed",IF(C43&lt;Dashboard!$C$5,"Missed",IF(C43-Dashboard!$C$5&lt;=Lists!$O$3,"Due soon","Scheduled"))))</f>
        <v/>
      </c>
      <c r="H43" s="33" t="str">
        <f aca="false">IF(C43="","",IF(D43&lt;&gt;"",D43,C43)+Lists!$O$2)</f>
        <v/>
      </c>
      <c r="I43" s="10"/>
    </row>
    <row r="44" customFormat="false" ht="15" hidden="false" customHeight="false" outlineLevel="0" collapsed="false">
      <c r="A44" s="10"/>
      <c r="B44" s="10"/>
      <c r="C44" s="11"/>
      <c r="D44" s="11"/>
      <c r="E44" s="27"/>
      <c r="F44" s="27"/>
      <c r="G44" s="19" t="str">
        <f aca="false">IF(C44="","",IF(D44&lt;&gt;"","Completed",IF(C44&lt;Dashboard!$C$5,"Missed",IF(C44-Dashboard!$C$5&lt;=Lists!$O$3,"Due soon","Scheduled"))))</f>
        <v/>
      </c>
      <c r="H44" s="33" t="str">
        <f aca="false">IF(C44="","",IF(D44&lt;&gt;"",D44,C44)+Lists!$O$2)</f>
        <v/>
      </c>
      <c r="I44" s="10"/>
    </row>
    <row r="45" customFormat="false" ht="15" hidden="false" customHeight="false" outlineLevel="0" collapsed="false">
      <c r="A45" s="10"/>
      <c r="B45" s="10"/>
      <c r="C45" s="11"/>
      <c r="D45" s="11"/>
      <c r="E45" s="27"/>
      <c r="F45" s="27"/>
      <c r="G45" s="19" t="str">
        <f aca="false">IF(C45="","",IF(D45&lt;&gt;"","Completed",IF(C45&lt;Dashboard!$C$5,"Missed",IF(C45-Dashboard!$C$5&lt;=Lists!$O$3,"Due soon","Scheduled"))))</f>
        <v/>
      </c>
      <c r="H45" s="33" t="str">
        <f aca="false">IF(C45="","",IF(D45&lt;&gt;"",D45,C45)+Lists!$O$2)</f>
        <v/>
      </c>
      <c r="I45" s="10"/>
    </row>
    <row r="46" customFormat="false" ht="15" hidden="false" customHeight="false" outlineLevel="0" collapsed="false">
      <c r="A46" s="10"/>
      <c r="B46" s="10"/>
      <c r="C46" s="11"/>
      <c r="D46" s="11"/>
      <c r="E46" s="27"/>
      <c r="F46" s="27"/>
      <c r="G46" s="19" t="str">
        <f aca="false">IF(C46="","",IF(D46&lt;&gt;"","Completed",IF(C46&lt;Dashboard!$C$5,"Missed",IF(C46-Dashboard!$C$5&lt;=Lists!$O$3,"Due soon","Scheduled"))))</f>
        <v/>
      </c>
      <c r="H46" s="33" t="str">
        <f aca="false">IF(C46="","",IF(D46&lt;&gt;"",D46,C46)+Lists!$O$2)</f>
        <v/>
      </c>
      <c r="I46" s="10"/>
    </row>
    <row r="47" customFormat="false" ht="15" hidden="false" customHeight="false" outlineLevel="0" collapsed="false">
      <c r="A47" s="10"/>
      <c r="B47" s="10"/>
      <c r="C47" s="11"/>
      <c r="D47" s="11"/>
      <c r="E47" s="27"/>
      <c r="F47" s="27"/>
      <c r="G47" s="19" t="str">
        <f aca="false">IF(C47="","",IF(D47&lt;&gt;"","Completed",IF(C47&lt;Dashboard!$C$5,"Missed",IF(C47-Dashboard!$C$5&lt;=Lists!$O$3,"Due soon","Scheduled"))))</f>
        <v/>
      </c>
      <c r="H47" s="33" t="str">
        <f aca="false">IF(C47="","",IF(D47&lt;&gt;"",D47,C47)+Lists!$O$2)</f>
        <v/>
      </c>
      <c r="I47" s="10"/>
    </row>
    <row r="48" customFormat="false" ht="15" hidden="false" customHeight="false" outlineLevel="0" collapsed="false">
      <c r="A48" s="10"/>
      <c r="B48" s="10"/>
      <c r="C48" s="11"/>
      <c r="D48" s="11"/>
      <c r="E48" s="27"/>
      <c r="F48" s="27"/>
      <c r="G48" s="19" t="str">
        <f aca="false">IF(C48="","",IF(D48&lt;&gt;"","Completed",IF(C48&lt;Dashboard!$C$5,"Missed",IF(C48-Dashboard!$C$5&lt;=Lists!$O$3,"Due soon","Scheduled"))))</f>
        <v/>
      </c>
      <c r="H48" s="33" t="str">
        <f aca="false">IF(C48="","",IF(D48&lt;&gt;"",D48,C48)+Lists!$O$2)</f>
        <v/>
      </c>
      <c r="I48" s="10"/>
    </row>
    <row r="49" customFormat="false" ht="15" hidden="false" customHeight="false" outlineLevel="0" collapsed="false">
      <c r="A49" s="10"/>
      <c r="B49" s="10"/>
      <c r="C49" s="11"/>
      <c r="D49" s="11"/>
      <c r="E49" s="27"/>
      <c r="F49" s="27"/>
      <c r="G49" s="19" t="str">
        <f aca="false">IF(C49="","",IF(D49&lt;&gt;"","Completed",IF(C49&lt;Dashboard!$C$5,"Missed",IF(C49-Dashboard!$C$5&lt;=Lists!$O$3,"Due soon","Scheduled"))))</f>
        <v/>
      </c>
      <c r="H49" s="33" t="str">
        <f aca="false">IF(C49="","",IF(D49&lt;&gt;"",D49,C49)+Lists!$O$2)</f>
        <v/>
      </c>
      <c r="I49" s="10"/>
    </row>
    <row r="50" customFormat="false" ht="15" hidden="false" customHeight="false" outlineLevel="0" collapsed="false">
      <c r="A50" s="10"/>
      <c r="B50" s="10"/>
      <c r="C50" s="11"/>
      <c r="D50" s="11"/>
      <c r="E50" s="27"/>
      <c r="F50" s="27"/>
      <c r="G50" s="19" t="str">
        <f aca="false">IF(C50="","",IF(D50&lt;&gt;"","Completed",IF(C50&lt;Dashboard!$C$5,"Missed",IF(C50-Dashboard!$C$5&lt;=Lists!$O$3,"Due soon","Scheduled"))))</f>
        <v/>
      </c>
      <c r="H50" s="33" t="str">
        <f aca="false">IF(C50="","",IF(D50&lt;&gt;"",D50,C50)+Lists!$O$2)</f>
        <v/>
      </c>
      <c r="I50" s="10"/>
    </row>
    <row r="51" customFormat="false" ht="15" hidden="false" customHeight="false" outlineLevel="0" collapsed="false">
      <c r="A51" s="10"/>
      <c r="B51" s="10"/>
      <c r="C51" s="11"/>
      <c r="D51" s="11"/>
      <c r="E51" s="27"/>
      <c r="F51" s="27"/>
      <c r="G51" s="19" t="str">
        <f aca="false">IF(C51="","",IF(D51&lt;&gt;"","Completed",IF(C51&lt;Dashboard!$C$5,"Missed",IF(C51-Dashboard!$C$5&lt;=Lists!$O$3,"Due soon","Scheduled"))))</f>
        <v/>
      </c>
      <c r="H51" s="33" t="str">
        <f aca="false">IF(C51="","",IF(D51&lt;&gt;"",D51,C51)+Lists!$O$2)</f>
        <v/>
      </c>
      <c r="I51" s="10"/>
    </row>
    <row r="52" customFormat="false" ht="15" hidden="false" customHeight="false" outlineLevel="0" collapsed="false">
      <c r="A52" s="10"/>
      <c r="B52" s="10"/>
      <c r="C52" s="11"/>
      <c r="D52" s="11"/>
      <c r="E52" s="27"/>
      <c r="F52" s="27"/>
      <c r="G52" s="19" t="str">
        <f aca="false">IF(C52="","",IF(D52&lt;&gt;"","Completed",IF(C52&lt;Dashboard!$C$5,"Missed",IF(C52-Dashboard!$C$5&lt;=Lists!$O$3,"Due soon","Scheduled"))))</f>
        <v/>
      </c>
      <c r="H52" s="33" t="str">
        <f aca="false">IF(C52="","",IF(D52&lt;&gt;"",D52,C52)+Lists!$O$2)</f>
        <v/>
      </c>
      <c r="I52" s="10"/>
    </row>
    <row r="53" customFormat="false" ht="15" hidden="false" customHeight="false" outlineLevel="0" collapsed="false">
      <c r="A53" s="10"/>
      <c r="B53" s="10"/>
      <c r="C53" s="11"/>
      <c r="D53" s="11"/>
      <c r="E53" s="27"/>
      <c r="F53" s="27"/>
      <c r="G53" s="19" t="str">
        <f aca="false">IF(C53="","",IF(D53&lt;&gt;"","Completed",IF(C53&lt;Dashboard!$C$5,"Missed",IF(C53-Dashboard!$C$5&lt;=Lists!$O$3,"Due soon","Scheduled"))))</f>
        <v/>
      </c>
      <c r="H53" s="33" t="str">
        <f aca="false">IF(C53="","",IF(D53&lt;&gt;"",D53,C53)+Lists!$O$2)</f>
        <v/>
      </c>
      <c r="I53" s="10"/>
    </row>
    <row r="54" customFormat="false" ht="15" hidden="false" customHeight="false" outlineLevel="0" collapsed="false">
      <c r="A54" s="10"/>
      <c r="B54" s="10"/>
      <c r="C54" s="11"/>
      <c r="D54" s="11"/>
      <c r="E54" s="27"/>
      <c r="F54" s="27"/>
      <c r="G54" s="19" t="str">
        <f aca="false">IF(C54="","",IF(D54&lt;&gt;"","Completed",IF(C54&lt;Dashboard!$C$5,"Missed",IF(C54-Dashboard!$C$5&lt;=Lists!$O$3,"Due soon","Scheduled"))))</f>
        <v/>
      </c>
      <c r="H54" s="33" t="str">
        <f aca="false">IF(C54="","",IF(D54&lt;&gt;"",D54,C54)+Lists!$O$2)</f>
        <v/>
      </c>
      <c r="I54" s="10"/>
    </row>
    <row r="55" customFormat="false" ht="15" hidden="false" customHeight="false" outlineLevel="0" collapsed="false">
      <c r="A55" s="10"/>
      <c r="B55" s="10"/>
      <c r="C55" s="11"/>
      <c r="D55" s="11"/>
      <c r="E55" s="27"/>
      <c r="F55" s="27"/>
      <c r="G55" s="19" t="str">
        <f aca="false">IF(C55="","",IF(D55&lt;&gt;"","Completed",IF(C55&lt;Dashboard!$C$5,"Missed",IF(C55-Dashboard!$C$5&lt;=Lists!$O$3,"Due soon","Scheduled"))))</f>
        <v/>
      </c>
      <c r="H55" s="33" t="str">
        <f aca="false">IF(C55="","",IF(D55&lt;&gt;"",D55,C55)+Lists!$O$2)</f>
        <v/>
      </c>
      <c r="I55" s="10"/>
    </row>
    <row r="56" customFormat="false" ht="15" hidden="false" customHeight="false" outlineLevel="0" collapsed="false">
      <c r="A56" s="10"/>
      <c r="B56" s="10"/>
      <c r="C56" s="11"/>
      <c r="D56" s="11"/>
      <c r="E56" s="27"/>
      <c r="F56" s="27"/>
      <c r="G56" s="19" t="str">
        <f aca="false">IF(C56="","",IF(D56&lt;&gt;"","Completed",IF(C56&lt;Dashboard!$C$5,"Missed",IF(C56-Dashboard!$C$5&lt;=Lists!$O$3,"Due soon","Scheduled"))))</f>
        <v/>
      </c>
      <c r="H56" s="33" t="str">
        <f aca="false">IF(C56="","",IF(D56&lt;&gt;"",D56,C56)+Lists!$O$2)</f>
        <v/>
      </c>
      <c r="I56" s="10"/>
    </row>
    <row r="57" customFormat="false" ht="15" hidden="false" customHeight="false" outlineLevel="0" collapsed="false">
      <c r="A57" s="10"/>
      <c r="B57" s="10"/>
      <c r="C57" s="11"/>
      <c r="D57" s="11"/>
      <c r="E57" s="27"/>
      <c r="F57" s="27"/>
      <c r="G57" s="19" t="str">
        <f aca="false">IF(C57="","",IF(D57&lt;&gt;"","Completed",IF(C57&lt;Dashboard!$C$5,"Missed",IF(C57-Dashboard!$C$5&lt;=Lists!$O$3,"Due soon","Scheduled"))))</f>
        <v/>
      </c>
      <c r="H57" s="33" t="str">
        <f aca="false">IF(C57="","",IF(D57&lt;&gt;"",D57,C57)+Lists!$O$2)</f>
        <v/>
      </c>
      <c r="I57" s="10"/>
    </row>
    <row r="58" customFormat="false" ht="15" hidden="false" customHeight="false" outlineLevel="0" collapsed="false">
      <c r="A58" s="10"/>
      <c r="B58" s="10"/>
      <c r="C58" s="11"/>
      <c r="D58" s="11"/>
      <c r="E58" s="27"/>
      <c r="F58" s="27"/>
      <c r="G58" s="19" t="str">
        <f aca="false">IF(C58="","",IF(D58&lt;&gt;"","Completed",IF(C58&lt;Dashboard!$C$5,"Missed",IF(C58-Dashboard!$C$5&lt;=Lists!$O$3,"Due soon","Scheduled"))))</f>
        <v/>
      </c>
      <c r="H58" s="33" t="str">
        <f aca="false">IF(C58="","",IF(D58&lt;&gt;"",D58,C58)+Lists!$O$2)</f>
        <v/>
      </c>
      <c r="I58" s="10"/>
    </row>
    <row r="59" customFormat="false" ht="15" hidden="false" customHeight="false" outlineLevel="0" collapsed="false">
      <c r="A59" s="10"/>
      <c r="B59" s="10"/>
      <c r="C59" s="11"/>
      <c r="D59" s="11"/>
      <c r="E59" s="27"/>
      <c r="F59" s="27"/>
      <c r="G59" s="19" t="str">
        <f aca="false">IF(C59="","",IF(D59&lt;&gt;"","Completed",IF(C59&lt;Dashboard!$C$5,"Missed",IF(C59-Dashboard!$C$5&lt;=Lists!$O$3,"Due soon","Scheduled"))))</f>
        <v/>
      </c>
      <c r="H59" s="33" t="str">
        <f aca="false">IF(C59="","",IF(D59&lt;&gt;"",D59,C59)+Lists!$O$2)</f>
        <v/>
      </c>
      <c r="I59" s="10"/>
    </row>
    <row r="60" customFormat="false" ht="15" hidden="false" customHeight="false" outlineLevel="0" collapsed="false">
      <c r="A60" s="10"/>
      <c r="B60" s="10"/>
      <c r="C60" s="11"/>
      <c r="D60" s="11"/>
      <c r="E60" s="27"/>
      <c r="F60" s="27"/>
      <c r="G60" s="19" t="str">
        <f aca="false">IF(C60="","",IF(D60&lt;&gt;"","Completed",IF(C60&lt;Dashboard!$C$5,"Missed",IF(C60-Dashboard!$C$5&lt;=Lists!$O$3,"Due soon","Scheduled"))))</f>
        <v/>
      </c>
      <c r="H60" s="33" t="str">
        <f aca="false">IF(C60="","",IF(D60&lt;&gt;"",D60,C60)+Lists!$O$2)</f>
        <v/>
      </c>
      <c r="I60" s="10"/>
    </row>
    <row r="61" customFormat="false" ht="15" hidden="false" customHeight="false" outlineLevel="0" collapsed="false">
      <c r="A61" s="10"/>
      <c r="B61" s="10"/>
      <c r="C61" s="11"/>
      <c r="D61" s="11"/>
      <c r="E61" s="27"/>
      <c r="F61" s="27"/>
      <c r="G61" s="19" t="str">
        <f aca="false">IF(C61="","",IF(D61&lt;&gt;"","Completed",IF(C61&lt;Dashboard!$C$5,"Missed",IF(C61-Dashboard!$C$5&lt;=Lists!$O$3,"Due soon","Scheduled"))))</f>
        <v/>
      </c>
      <c r="H61" s="33" t="str">
        <f aca="false">IF(C61="","",IF(D61&lt;&gt;"",D61,C61)+Lists!$O$2)</f>
        <v/>
      </c>
      <c r="I61" s="10"/>
    </row>
    <row r="62" customFormat="false" ht="15" hidden="false" customHeight="false" outlineLevel="0" collapsed="false">
      <c r="A62" s="10"/>
      <c r="B62" s="10"/>
      <c r="C62" s="11"/>
      <c r="D62" s="11"/>
      <c r="E62" s="27"/>
      <c r="F62" s="27"/>
      <c r="G62" s="19" t="str">
        <f aca="false">IF(C62="","",IF(D62&lt;&gt;"","Completed",IF(C62&lt;Dashboard!$C$5,"Missed",IF(C62-Dashboard!$C$5&lt;=Lists!$O$3,"Due soon","Scheduled"))))</f>
        <v/>
      </c>
      <c r="H62" s="33" t="str">
        <f aca="false">IF(C62="","",IF(D62&lt;&gt;"",D62,C62)+Lists!$O$2)</f>
        <v/>
      </c>
      <c r="I62" s="10"/>
    </row>
    <row r="63" customFormat="false" ht="15" hidden="false" customHeight="false" outlineLevel="0" collapsed="false">
      <c r="A63" s="10"/>
      <c r="B63" s="10"/>
      <c r="C63" s="11"/>
      <c r="D63" s="11"/>
      <c r="E63" s="27"/>
      <c r="F63" s="27"/>
      <c r="G63" s="19" t="str">
        <f aca="false">IF(C63="","",IF(D63&lt;&gt;"","Completed",IF(C63&lt;Dashboard!$C$5,"Missed",IF(C63-Dashboard!$C$5&lt;=Lists!$O$3,"Due soon","Scheduled"))))</f>
        <v/>
      </c>
      <c r="H63" s="33" t="str">
        <f aca="false">IF(C63="","",IF(D63&lt;&gt;"",D63,C63)+Lists!$O$2)</f>
        <v/>
      </c>
      <c r="I63" s="10"/>
    </row>
    <row r="64" customFormat="false" ht="15" hidden="false" customHeight="false" outlineLevel="0" collapsed="false">
      <c r="A64" s="10"/>
      <c r="B64" s="10"/>
      <c r="C64" s="11"/>
      <c r="D64" s="11"/>
      <c r="E64" s="27"/>
      <c r="F64" s="27"/>
      <c r="G64" s="19" t="str">
        <f aca="false">IF(C64="","",IF(D64&lt;&gt;"","Completed",IF(C64&lt;Dashboard!$C$5,"Missed",IF(C64-Dashboard!$C$5&lt;=Lists!$O$3,"Due soon","Scheduled"))))</f>
        <v/>
      </c>
      <c r="H64" s="33" t="str">
        <f aca="false">IF(C64="","",IF(D64&lt;&gt;"",D64,C64)+Lists!$O$2)</f>
        <v/>
      </c>
      <c r="I64" s="10"/>
    </row>
    <row r="65" customFormat="false" ht="15" hidden="false" customHeight="false" outlineLevel="0" collapsed="false">
      <c r="A65" s="10"/>
      <c r="B65" s="10"/>
      <c r="C65" s="11"/>
      <c r="D65" s="11"/>
      <c r="E65" s="27"/>
      <c r="F65" s="27"/>
      <c r="G65" s="19" t="str">
        <f aca="false">IF(C65="","",IF(D65&lt;&gt;"","Completed",IF(C65&lt;Dashboard!$C$5,"Missed",IF(C65-Dashboard!$C$5&lt;=Lists!$O$3,"Due soon","Scheduled"))))</f>
        <v/>
      </c>
      <c r="H65" s="33" t="str">
        <f aca="false">IF(C65="","",IF(D65&lt;&gt;"",D65,C65)+Lists!$O$2)</f>
        <v/>
      </c>
      <c r="I65" s="10"/>
    </row>
    <row r="66" customFormat="false" ht="15" hidden="false" customHeight="false" outlineLevel="0" collapsed="false">
      <c r="A66" s="10"/>
      <c r="B66" s="10"/>
      <c r="C66" s="11"/>
      <c r="D66" s="11"/>
      <c r="E66" s="27"/>
      <c r="F66" s="27"/>
      <c r="G66" s="19" t="str">
        <f aca="false">IF(C66="","",IF(D66&lt;&gt;"","Completed",IF(C66&lt;Dashboard!$C$5,"Missed",IF(C66-Dashboard!$C$5&lt;=Lists!$O$3,"Due soon","Scheduled"))))</f>
        <v/>
      </c>
      <c r="H66" s="33" t="str">
        <f aca="false">IF(C66="","",IF(D66&lt;&gt;"",D66,C66)+Lists!$O$2)</f>
        <v/>
      </c>
      <c r="I66" s="10"/>
    </row>
    <row r="67" customFormat="false" ht="15" hidden="false" customHeight="false" outlineLevel="0" collapsed="false">
      <c r="A67" s="10"/>
      <c r="B67" s="10"/>
      <c r="C67" s="11"/>
      <c r="D67" s="11"/>
      <c r="E67" s="27"/>
      <c r="F67" s="27"/>
      <c r="G67" s="19" t="str">
        <f aca="false">IF(C67="","",IF(D67&lt;&gt;"","Completed",IF(C67&lt;Dashboard!$C$5,"Missed",IF(C67-Dashboard!$C$5&lt;=Lists!$O$3,"Due soon","Scheduled"))))</f>
        <v/>
      </c>
      <c r="H67" s="33" t="str">
        <f aca="false">IF(C67="","",IF(D67&lt;&gt;"",D67,C67)+Lists!$O$2)</f>
        <v/>
      </c>
      <c r="I67" s="10"/>
    </row>
    <row r="68" customFormat="false" ht="15" hidden="false" customHeight="false" outlineLevel="0" collapsed="false">
      <c r="A68" s="10"/>
      <c r="B68" s="10"/>
      <c r="C68" s="11"/>
      <c r="D68" s="11"/>
      <c r="E68" s="27"/>
      <c r="F68" s="27"/>
      <c r="G68" s="19" t="str">
        <f aca="false">IF(C68="","",IF(D68&lt;&gt;"","Completed",IF(C68&lt;Dashboard!$C$5,"Missed",IF(C68-Dashboard!$C$5&lt;=Lists!$O$3,"Due soon","Scheduled"))))</f>
        <v/>
      </c>
      <c r="H68" s="33" t="str">
        <f aca="false">IF(C68="","",IF(D68&lt;&gt;"",D68,C68)+Lists!$O$2)</f>
        <v/>
      </c>
      <c r="I68" s="10"/>
    </row>
    <row r="69" customFormat="false" ht="15" hidden="false" customHeight="false" outlineLevel="0" collapsed="false">
      <c r="A69" s="10"/>
      <c r="B69" s="10"/>
      <c r="C69" s="11"/>
      <c r="D69" s="11"/>
      <c r="E69" s="27"/>
      <c r="F69" s="27"/>
      <c r="G69" s="19" t="str">
        <f aca="false">IF(C69="","",IF(D69&lt;&gt;"","Completed",IF(C69&lt;Dashboard!$C$5,"Missed",IF(C69-Dashboard!$C$5&lt;=Lists!$O$3,"Due soon","Scheduled"))))</f>
        <v/>
      </c>
      <c r="H69" s="33" t="str">
        <f aca="false">IF(C69="","",IF(D69&lt;&gt;"",D69,C69)+Lists!$O$2)</f>
        <v/>
      </c>
      <c r="I69" s="10"/>
    </row>
    <row r="70" customFormat="false" ht="15" hidden="false" customHeight="false" outlineLevel="0" collapsed="false">
      <c r="A70" s="10"/>
      <c r="B70" s="10"/>
      <c r="C70" s="11"/>
      <c r="D70" s="11"/>
      <c r="E70" s="27"/>
      <c r="F70" s="27"/>
      <c r="G70" s="19" t="str">
        <f aca="false">IF(C70="","",IF(D70&lt;&gt;"","Completed",IF(C70&lt;Dashboard!$C$5,"Missed",IF(C70-Dashboard!$C$5&lt;=Lists!$O$3,"Due soon","Scheduled"))))</f>
        <v/>
      </c>
      <c r="H70" s="33" t="str">
        <f aca="false">IF(C70="","",IF(D70&lt;&gt;"",D70,C70)+Lists!$O$2)</f>
        <v/>
      </c>
      <c r="I70" s="10"/>
    </row>
    <row r="71" customFormat="false" ht="15" hidden="false" customHeight="false" outlineLevel="0" collapsed="false">
      <c r="A71" s="10"/>
      <c r="B71" s="10"/>
      <c r="C71" s="11"/>
      <c r="D71" s="11"/>
      <c r="E71" s="27"/>
      <c r="F71" s="27"/>
      <c r="G71" s="19" t="str">
        <f aca="false">IF(C71="","",IF(D71&lt;&gt;"","Completed",IF(C71&lt;Dashboard!$C$5,"Missed",IF(C71-Dashboard!$C$5&lt;=Lists!$O$3,"Due soon","Scheduled"))))</f>
        <v/>
      </c>
      <c r="H71" s="33" t="str">
        <f aca="false">IF(C71="","",IF(D71&lt;&gt;"",D71,C71)+Lists!$O$2)</f>
        <v/>
      </c>
      <c r="I71" s="10"/>
    </row>
    <row r="72" customFormat="false" ht="15" hidden="false" customHeight="false" outlineLevel="0" collapsed="false">
      <c r="A72" s="10"/>
      <c r="B72" s="10"/>
      <c r="C72" s="11"/>
      <c r="D72" s="11"/>
      <c r="E72" s="27"/>
      <c r="F72" s="27"/>
      <c r="G72" s="19" t="str">
        <f aca="false">IF(C72="","",IF(D72&lt;&gt;"","Completed",IF(C72&lt;Dashboard!$C$5,"Missed",IF(C72-Dashboard!$C$5&lt;=Lists!$O$3,"Due soon","Scheduled"))))</f>
        <v/>
      </c>
      <c r="H72" s="33" t="str">
        <f aca="false">IF(C72="","",IF(D72&lt;&gt;"",D72,C72)+Lists!$O$2)</f>
        <v/>
      </c>
      <c r="I72" s="10"/>
    </row>
    <row r="73" customFormat="false" ht="15" hidden="false" customHeight="false" outlineLevel="0" collapsed="false">
      <c r="A73" s="10"/>
      <c r="B73" s="10"/>
      <c r="C73" s="11"/>
      <c r="D73" s="11"/>
      <c r="E73" s="27"/>
      <c r="F73" s="27"/>
      <c r="G73" s="19" t="str">
        <f aca="false">IF(C73="","",IF(D73&lt;&gt;"","Completed",IF(C73&lt;Dashboard!$C$5,"Missed",IF(C73-Dashboard!$C$5&lt;=Lists!$O$3,"Due soon","Scheduled"))))</f>
        <v/>
      </c>
      <c r="H73" s="33" t="str">
        <f aca="false">IF(C73="","",IF(D73&lt;&gt;"",D73,C73)+Lists!$O$2)</f>
        <v/>
      </c>
      <c r="I73" s="10"/>
    </row>
    <row r="74" customFormat="false" ht="15" hidden="false" customHeight="false" outlineLevel="0" collapsed="false">
      <c r="A74" s="10"/>
      <c r="B74" s="10"/>
      <c r="C74" s="11"/>
      <c r="D74" s="11"/>
      <c r="E74" s="27"/>
      <c r="F74" s="27"/>
      <c r="G74" s="19" t="str">
        <f aca="false">IF(C74="","",IF(D74&lt;&gt;"","Completed",IF(C74&lt;Dashboard!$C$5,"Missed",IF(C74-Dashboard!$C$5&lt;=Lists!$O$3,"Due soon","Scheduled"))))</f>
        <v/>
      </c>
      <c r="H74" s="33" t="str">
        <f aca="false">IF(C74="","",IF(D74&lt;&gt;"",D74,C74)+Lists!$O$2)</f>
        <v/>
      </c>
      <c r="I74" s="10"/>
    </row>
    <row r="75" customFormat="false" ht="15" hidden="false" customHeight="false" outlineLevel="0" collapsed="false">
      <c r="A75" s="10"/>
      <c r="B75" s="10"/>
      <c r="C75" s="11"/>
      <c r="D75" s="11"/>
      <c r="E75" s="27"/>
      <c r="F75" s="27"/>
      <c r="G75" s="19" t="str">
        <f aca="false">IF(C75="","",IF(D75&lt;&gt;"","Completed",IF(C75&lt;Dashboard!$C$5,"Missed",IF(C75-Dashboard!$C$5&lt;=Lists!$O$3,"Due soon","Scheduled"))))</f>
        <v/>
      </c>
      <c r="H75" s="33" t="str">
        <f aca="false">IF(C75="","",IF(D75&lt;&gt;"",D75,C75)+Lists!$O$2)</f>
        <v/>
      </c>
      <c r="I75" s="10"/>
    </row>
    <row r="76" customFormat="false" ht="15" hidden="false" customHeight="false" outlineLevel="0" collapsed="false">
      <c r="A76" s="10"/>
      <c r="B76" s="10"/>
      <c r="C76" s="11"/>
      <c r="D76" s="11"/>
      <c r="E76" s="27"/>
      <c r="F76" s="27"/>
      <c r="G76" s="19" t="str">
        <f aca="false">IF(C76="","",IF(D76&lt;&gt;"","Completed",IF(C76&lt;Dashboard!$C$5,"Missed",IF(C76-Dashboard!$C$5&lt;=Lists!$O$3,"Due soon","Scheduled"))))</f>
        <v/>
      </c>
      <c r="H76" s="33" t="str">
        <f aca="false">IF(C76="","",IF(D76&lt;&gt;"",D76,C76)+Lists!$O$2)</f>
        <v/>
      </c>
      <c r="I76" s="10"/>
    </row>
    <row r="77" customFormat="false" ht="15" hidden="false" customHeight="false" outlineLevel="0" collapsed="false">
      <c r="A77" s="10"/>
      <c r="B77" s="10"/>
      <c r="C77" s="11"/>
      <c r="D77" s="11"/>
      <c r="E77" s="27"/>
      <c r="F77" s="27"/>
      <c r="G77" s="19" t="str">
        <f aca="false">IF(C77="","",IF(D77&lt;&gt;"","Completed",IF(C77&lt;Dashboard!$C$5,"Missed",IF(C77-Dashboard!$C$5&lt;=Lists!$O$3,"Due soon","Scheduled"))))</f>
        <v/>
      </c>
      <c r="H77" s="33" t="str">
        <f aca="false">IF(C77="","",IF(D77&lt;&gt;"",D77,C77)+Lists!$O$2)</f>
        <v/>
      </c>
      <c r="I77" s="10"/>
    </row>
    <row r="78" customFormat="false" ht="15" hidden="false" customHeight="false" outlineLevel="0" collapsed="false">
      <c r="A78" s="10"/>
      <c r="B78" s="10"/>
      <c r="C78" s="11"/>
      <c r="D78" s="11"/>
      <c r="E78" s="27"/>
      <c r="F78" s="27"/>
      <c r="G78" s="19" t="str">
        <f aca="false">IF(C78="","",IF(D78&lt;&gt;"","Completed",IF(C78&lt;Dashboard!$C$5,"Missed",IF(C78-Dashboard!$C$5&lt;=Lists!$O$3,"Due soon","Scheduled"))))</f>
        <v/>
      </c>
      <c r="H78" s="33" t="str">
        <f aca="false">IF(C78="","",IF(D78&lt;&gt;"",D78,C78)+Lists!$O$2)</f>
        <v/>
      </c>
      <c r="I78" s="10"/>
    </row>
    <row r="79" customFormat="false" ht="15" hidden="false" customHeight="false" outlineLevel="0" collapsed="false">
      <c r="A79" s="10"/>
      <c r="B79" s="10"/>
      <c r="C79" s="11"/>
      <c r="D79" s="11"/>
      <c r="E79" s="27"/>
      <c r="F79" s="27"/>
      <c r="G79" s="19" t="str">
        <f aca="false">IF(C79="","",IF(D79&lt;&gt;"","Completed",IF(C79&lt;Dashboard!$C$5,"Missed",IF(C79-Dashboard!$C$5&lt;=Lists!$O$3,"Due soon","Scheduled"))))</f>
        <v/>
      </c>
      <c r="H79" s="33" t="str">
        <f aca="false">IF(C79="","",IF(D79&lt;&gt;"",D79,C79)+Lists!$O$2)</f>
        <v/>
      </c>
      <c r="I79" s="10"/>
    </row>
    <row r="80" customFormat="false" ht="15" hidden="false" customHeight="false" outlineLevel="0" collapsed="false">
      <c r="A80" s="10"/>
      <c r="B80" s="10"/>
      <c r="C80" s="11"/>
      <c r="D80" s="11"/>
      <c r="E80" s="27"/>
      <c r="F80" s="27"/>
      <c r="G80" s="19" t="str">
        <f aca="false">IF(C80="","",IF(D80&lt;&gt;"","Completed",IF(C80&lt;Dashboard!$C$5,"Missed",IF(C80-Dashboard!$C$5&lt;=Lists!$O$3,"Due soon","Scheduled"))))</f>
        <v/>
      </c>
      <c r="H80" s="33" t="str">
        <f aca="false">IF(C80="","",IF(D80&lt;&gt;"",D80,C80)+Lists!$O$2)</f>
        <v/>
      </c>
      <c r="I80" s="10"/>
    </row>
    <row r="81" customFormat="false" ht="15" hidden="false" customHeight="false" outlineLevel="0" collapsed="false">
      <c r="A81" s="10"/>
      <c r="B81" s="10"/>
      <c r="C81" s="11"/>
      <c r="D81" s="11"/>
      <c r="E81" s="27"/>
      <c r="F81" s="27"/>
      <c r="G81" s="19" t="str">
        <f aca="false">IF(C81="","",IF(D81&lt;&gt;"","Completed",IF(C81&lt;Dashboard!$C$5,"Missed",IF(C81-Dashboard!$C$5&lt;=Lists!$O$3,"Due soon","Scheduled"))))</f>
        <v/>
      </c>
      <c r="H81" s="33" t="str">
        <f aca="false">IF(C81="","",IF(D81&lt;&gt;"",D81,C81)+Lists!$O$2)</f>
        <v/>
      </c>
      <c r="I81" s="10"/>
    </row>
    <row r="82" customFormat="false" ht="15" hidden="false" customHeight="false" outlineLevel="0" collapsed="false">
      <c r="A82" s="10"/>
      <c r="B82" s="10"/>
      <c r="C82" s="11"/>
      <c r="D82" s="11"/>
      <c r="E82" s="27"/>
      <c r="F82" s="27"/>
      <c r="G82" s="19" t="str">
        <f aca="false">IF(C82="","",IF(D82&lt;&gt;"","Completed",IF(C82&lt;Dashboard!$C$5,"Missed",IF(C82-Dashboard!$C$5&lt;=Lists!$O$3,"Due soon","Scheduled"))))</f>
        <v/>
      </c>
      <c r="H82" s="33" t="str">
        <f aca="false">IF(C82="","",IF(D82&lt;&gt;"",D82,C82)+Lists!$O$2)</f>
        <v/>
      </c>
      <c r="I82" s="10"/>
    </row>
    <row r="83" customFormat="false" ht="15" hidden="false" customHeight="false" outlineLevel="0" collapsed="false">
      <c r="A83" s="10"/>
      <c r="B83" s="10"/>
      <c r="C83" s="11"/>
      <c r="D83" s="11"/>
      <c r="E83" s="27"/>
      <c r="F83" s="27"/>
      <c r="G83" s="19" t="str">
        <f aca="false">IF(C83="","",IF(D83&lt;&gt;"","Completed",IF(C83&lt;Dashboard!$C$5,"Missed",IF(C83-Dashboard!$C$5&lt;=Lists!$O$3,"Due soon","Scheduled"))))</f>
        <v/>
      </c>
      <c r="H83" s="33" t="str">
        <f aca="false">IF(C83="","",IF(D83&lt;&gt;"",D83,C83)+Lists!$O$2)</f>
        <v/>
      </c>
      <c r="I83" s="10"/>
    </row>
    <row r="84" customFormat="false" ht="15" hidden="false" customHeight="false" outlineLevel="0" collapsed="false">
      <c r="A84" s="10"/>
      <c r="B84" s="10"/>
      <c r="C84" s="11"/>
      <c r="D84" s="11"/>
      <c r="E84" s="27"/>
      <c r="F84" s="27"/>
      <c r="G84" s="19" t="str">
        <f aca="false">IF(C84="","",IF(D84&lt;&gt;"","Completed",IF(C84&lt;Dashboard!$C$5,"Missed",IF(C84-Dashboard!$C$5&lt;=Lists!$O$3,"Due soon","Scheduled"))))</f>
        <v/>
      </c>
      <c r="H84" s="33" t="str">
        <f aca="false">IF(C84="","",IF(D84&lt;&gt;"",D84,C84)+Lists!$O$2)</f>
        <v/>
      </c>
      <c r="I84" s="10"/>
    </row>
    <row r="85" customFormat="false" ht="15" hidden="false" customHeight="false" outlineLevel="0" collapsed="false">
      <c r="A85" s="10"/>
      <c r="B85" s="10"/>
      <c r="C85" s="11"/>
      <c r="D85" s="11"/>
      <c r="E85" s="27"/>
      <c r="F85" s="27"/>
      <c r="G85" s="19" t="str">
        <f aca="false">IF(C85="","",IF(D85&lt;&gt;"","Completed",IF(C85&lt;Dashboard!$C$5,"Missed",IF(C85-Dashboard!$C$5&lt;=Lists!$O$3,"Due soon","Scheduled"))))</f>
        <v/>
      </c>
      <c r="H85" s="33" t="str">
        <f aca="false">IF(C85="","",IF(D85&lt;&gt;"",D85,C85)+Lists!$O$2)</f>
        <v/>
      </c>
      <c r="I85" s="10"/>
    </row>
    <row r="86" customFormat="false" ht="15" hidden="false" customHeight="false" outlineLevel="0" collapsed="false">
      <c r="A86" s="10"/>
      <c r="B86" s="10"/>
      <c r="C86" s="11"/>
      <c r="D86" s="11"/>
      <c r="E86" s="27"/>
      <c r="F86" s="27"/>
      <c r="G86" s="19" t="str">
        <f aca="false">IF(C86="","",IF(D86&lt;&gt;"","Completed",IF(C86&lt;Dashboard!$C$5,"Missed",IF(C86-Dashboard!$C$5&lt;=Lists!$O$3,"Due soon","Scheduled"))))</f>
        <v/>
      </c>
      <c r="H86" s="33" t="str">
        <f aca="false">IF(C86="","",IF(D86&lt;&gt;"",D86,C86)+Lists!$O$2)</f>
        <v/>
      </c>
      <c r="I86" s="10"/>
    </row>
    <row r="87" customFormat="false" ht="15" hidden="false" customHeight="false" outlineLevel="0" collapsed="false">
      <c r="A87" s="10"/>
      <c r="B87" s="10"/>
      <c r="C87" s="11"/>
      <c r="D87" s="11"/>
      <c r="E87" s="27"/>
      <c r="F87" s="27"/>
      <c r="G87" s="19" t="str">
        <f aca="false">IF(C87="","",IF(D87&lt;&gt;"","Completed",IF(C87&lt;Dashboard!$C$5,"Missed",IF(C87-Dashboard!$C$5&lt;=Lists!$O$3,"Due soon","Scheduled"))))</f>
        <v/>
      </c>
      <c r="H87" s="33" t="str">
        <f aca="false">IF(C87="","",IF(D87&lt;&gt;"",D87,C87)+Lists!$O$2)</f>
        <v/>
      </c>
      <c r="I87" s="10"/>
    </row>
    <row r="88" customFormat="false" ht="15" hidden="false" customHeight="false" outlineLevel="0" collapsed="false">
      <c r="A88" s="10"/>
      <c r="B88" s="10"/>
      <c r="C88" s="11"/>
      <c r="D88" s="11"/>
      <c r="E88" s="27"/>
      <c r="F88" s="27"/>
      <c r="G88" s="19" t="str">
        <f aca="false">IF(C88="","",IF(D88&lt;&gt;"","Completed",IF(C88&lt;Dashboard!$C$5,"Missed",IF(C88-Dashboard!$C$5&lt;=Lists!$O$3,"Due soon","Scheduled"))))</f>
        <v/>
      </c>
      <c r="H88" s="33" t="str">
        <f aca="false">IF(C88="","",IF(D88&lt;&gt;"",D88,C88)+Lists!$O$2)</f>
        <v/>
      </c>
      <c r="I88" s="10"/>
    </row>
    <row r="89" customFormat="false" ht="15" hidden="false" customHeight="false" outlineLevel="0" collapsed="false">
      <c r="A89" s="10"/>
      <c r="B89" s="10"/>
      <c r="C89" s="11"/>
      <c r="D89" s="11"/>
      <c r="E89" s="27"/>
      <c r="F89" s="27"/>
      <c r="G89" s="19" t="str">
        <f aca="false">IF(C89="","",IF(D89&lt;&gt;"","Completed",IF(C89&lt;Dashboard!$C$5,"Missed",IF(C89-Dashboard!$C$5&lt;=Lists!$O$3,"Due soon","Scheduled"))))</f>
        <v/>
      </c>
      <c r="H89" s="33" t="str">
        <f aca="false">IF(C89="","",IF(D89&lt;&gt;"",D89,C89)+Lists!$O$2)</f>
        <v/>
      </c>
      <c r="I89" s="10"/>
    </row>
    <row r="90" customFormat="false" ht="15" hidden="false" customHeight="false" outlineLevel="0" collapsed="false">
      <c r="A90" s="10"/>
      <c r="B90" s="10"/>
      <c r="C90" s="11"/>
      <c r="D90" s="11"/>
      <c r="E90" s="27"/>
      <c r="F90" s="27"/>
      <c r="G90" s="19" t="str">
        <f aca="false">IF(C90="","",IF(D90&lt;&gt;"","Completed",IF(C90&lt;Dashboard!$C$5,"Missed",IF(C90-Dashboard!$C$5&lt;=Lists!$O$3,"Due soon","Scheduled"))))</f>
        <v/>
      </c>
      <c r="H90" s="33" t="str">
        <f aca="false">IF(C90="","",IF(D90&lt;&gt;"",D90,C90)+Lists!$O$2)</f>
        <v/>
      </c>
      <c r="I90" s="10"/>
    </row>
    <row r="91" customFormat="false" ht="15" hidden="false" customHeight="false" outlineLevel="0" collapsed="false">
      <c r="A91" s="10"/>
      <c r="B91" s="10"/>
      <c r="C91" s="11"/>
      <c r="D91" s="11"/>
      <c r="E91" s="27"/>
      <c r="F91" s="27"/>
      <c r="G91" s="19" t="str">
        <f aca="false">IF(C91="","",IF(D91&lt;&gt;"","Completed",IF(C91&lt;Dashboard!$C$5,"Missed",IF(C91-Dashboard!$C$5&lt;=Lists!$O$3,"Due soon","Scheduled"))))</f>
        <v/>
      </c>
      <c r="H91" s="33" t="str">
        <f aca="false">IF(C91="","",IF(D91&lt;&gt;"",D91,C91)+Lists!$O$2)</f>
        <v/>
      </c>
      <c r="I91" s="10"/>
    </row>
    <row r="92" customFormat="false" ht="15" hidden="false" customHeight="false" outlineLevel="0" collapsed="false">
      <c r="A92" s="10"/>
      <c r="B92" s="10"/>
      <c r="C92" s="11"/>
      <c r="D92" s="11"/>
      <c r="E92" s="27"/>
      <c r="F92" s="27"/>
      <c r="G92" s="19" t="str">
        <f aca="false">IF(C92="","",IF(D92&lt;&gt;"","Completed",IF(C92&lt;Dashboard!$C$5,"Missed",IF(C92-Dashboard!$C$5&lt;=Lists!$O$3,"Due soon","Scheduled"))))</f>
        <v/>
      </c>
      <c r="H92" s="33" t="str">
        <f aca="false">IF(C92="","",IF(D92&lt;&gt;"",D92,C92)+Lists!$O$2)</f>
        <v/>
      </c>
      <c r="I92" s="10"/>
    </row>
    <row r="93" customFormat="false" ht="15" hidden="false" customHeight="false" outlineLevel="0" collapsed="false">
      <c r="A93" s="10"/>
      <c r="B93" s="10"/>
      <c r="C93" s="11"/>
      <c r="D93" s="11"/>
      <c r="E93" s="27"/>
      <c r="F93" s="27"/>
      <c r="G93" s="19" t="str">
        <f aca="false">IF(C93="","",IF(D93&lt;&gt;"","Completed",IF(C93&lt;Dashboard!$C$5,"Missed",IF(C93-Dashboard!$C$5&lt;=Lists!$O$3,"Due soon","Scheduled"))))</f>
        <v/>
      </c>
      <c r="H93" s="33" t="str">
        <f aca="false">IF(C93="","",IF(D93&lt;&gt;"",D93,C93)+Lists!$O$2)</f>
        <v/>
      </c>
      <c r="I93" s="10"/>
    </row>
    <row r="94" customFormat="false" ht="15" hidden="false" customHeight="false" outlineLevel="0" collapsed="false">
      <c r="A94" s="10"/>
      <c r="B94" s="10"/>
      <c r="C94" s="11"/>
      <c r="D94" s="11"/>
      <c r="E94" s="27"/>
      <c r="F94" s="27"/>
      <c r="G94" s="19" t="str">
        <f aca="false">IF(C94="","",IF(D94&lt;&gt;"","Completed",IF(C94&lt;Dashboard!$C$5,"Missed",IF(C94-Dashboard!$C$5&lt;=Lists!$O$3,"Due soon","Scheduled"))))</f>
        <v/>
      </c>
      <c r="H94" s="33" t="str">
        <f aca="false">IF(C94="","",IF(D94&lt;&gt;"",D94,C94)+Lists!$O$2)</f>
        <v/>
      </c>
      <c r="I94" s="10"/>
    </row>
    <row r="95" customFormat="false" ht="15" hidden="false" customHeight="false" outlineLevel="0" collapsed="false">
      <c r="A95" s="10"/>
      <c r="B95" s="10"/>
      <c r="C95" s="11"/>
      <c r="D95" s="11"/>
      <c r="E95" s="27"/>
      <c r="F95" s="27"/>
      <c r="G95" s="19" t="str">
        <f aca="false">IF(C95="","",IF(D95&lt;&gt;"","Completed",IF(C95&lt;Dashboard!$C$5,"Missed",IF(C95-Dashboard!$C$5&lt;=Lists!$O$3,"Due soon","Scheduled"))))</f>
        <v/>
      </c>
      <c r="H95" s="33" t="str">
        <f aca="false">IF(C95="","",IF(D95&lt;&gt;"",D95,C95)+Lists!$O$2)</f>
        <v/>
      </c>
      <c r="I95" s="10"/>
    </row>
    <row r="96" customFormat="false" ht="15" hidden="false" customHeight="false" outlineLevel="0" collapsed="false">
      <c r="A96" s="10"/>
      <c r="B96" s="10"/>
      <c r="C96" s="11"/>
      <c r="D96" s="11"/>
      <c r="E96" s="27"/>
      <c r="F96" s="27"/>
      <c r="G96" s="19" t="str">
        <f aca="false">IF(C96="","",IF(D96&lt;&gt;"","Completed",IF(C96&lt;Dashboard!$C$5,"Missed",IF(C96-Dashboard!$C$5&lt;=Lists!$O$3,"Due soon","Scheduled"))))</f>
        <v/>
      </c>
      <c r="H96" s="33" t="str">
        <f aca="false">IF(C96="","",IF(D96&lt;&gt;"",D96,C96)+Lists!$O$2)</f>
        <v/>
      </c>
      <c r="I96" s="10"/>
    </row>
    <row r="97" customFormat="false" ht="15" hidden="false" customHeight="false" outlineLevel="0" collapsed="false">
      <c r="A97" s="10"/>
      <c r="B97" s="10"/>
      <c r="C97" s="11"/>
      <c r="D97" s="11"/>
      <c r="E97" s="27"/>
      <c r="F97" s="27"/>
      <c r="G97" s="19" t="str">
        <f aca="false">IF(C97="","",IF(D97&lt;&gt;"","Completed",IF(C97&lt;Dashboard!$C$5,"Missed",IF(C97-Dashboard!$C$5&lt;=Lists!$O$3,"Due soon","Scheduled"))))</f>
        <v/>
      </c>
      <c r="H97" s="33" t="str">
        <f aca="false">IF(C97="","",IF(D97&lt;&gt;"",D97,C97)+Lists!$O$2)</f>
        <v/>
      </c>
      <c r="I97" s="10"/>
    </row>
    <row r="98" customFormat="false" ht="15" hidden="false" customHeight="false" outlineLevel="0" collapsed="false">
      <c r="A98" s="10"/>
      <c r="B98" s="10"/>
      <c r="C98" s="11"/>
      <c r="D98" s="11"/>
      <c r="E98" s="27"/>
      <c r="F98" s="27"/>
      <c r="G98" s="19" t="str">
        <f aca="false">IF(C98="","",IF(D98&lt;&gt;"","Completed",IF(C98&lt;Dashboard!$C$5,"Missed",IF(C98-Dashboard!$C$5&lt;=Lists!$O$3,"Due soon","Scheduled"))))</f>
        <v/>
      </c>
      <c r="H98" s="33" t="str">
        <f aca="false">IF(C98="","",IF(D98&lt;&gt;"",D98,C98)+Lists!$O$2)</f>
        <v/>
      </c>
      <c r="I98" s="10"/>
    </row>
    <row r="99" customFormat="false" ht="15" hidden="false" customHeight="false" outlineLevel="0" collapsed="false">
      <c r="A99" s="10"/>
      <c r="B99" s="10"/>
      <c r="C99" s="11"/>
      <c r="D99" s="11"/>
      <c r="E99" s="27"/>
      <c r="F99" s="27"/>
      <c r="G99" s="19" t="str">
        <f aca="false">IF(C99="","",IF(D99&lt;&gt;"","Completed",IF(C99&lt;Dashboard!$C$5,"Missed",IF(C99-Dashboard!$C$5&lt;=Lists!$O$3,"Due soon","Scheduled"))))</f>
        <v/>
      </c>
      <c r="H99" s="33" t="str">
        <f aca="false">IF(C99="","",IF(D99&lt;&gt;"",D99,C99)+Lists!$O$2)</f>
        <v/>
      </c>
      <c r="I99" s="10"/>
    </row>
    <row r="100" customFormat="false" ht="15" hidden="false" customHeight="false" outlineLevel="0" collapsed="false">
      <c r="A100" s="10"/>
      <c r="B100" s="10"/>
      <c r="C100" s="11"/>
      <c r="D100" s="11"/>
      <c r="E100" s="27"/>
      <c r="F100" s="27"/>
      <c r="G100" s="19" t="str">
        <f aca="false">IF(C100="","",IF(D100&lt;&gt;"","Completed",IF(C100&lt;Dashboard!$C$5,"Missed",IF(C100-Dashboard!$C$5&lt;=Lists!$O$3,"Due soon","Scheduled"))))</f>
        <v/>
      </c>
      <c r="H100" s="33" t="str">
        <f aca="false">IF(C100="","",IF(D100&lt;&gt;"",D100,C100)+Lists!$O$2)</f>
        <v/>
      </c>
      <c r="I100" s="10"/>
    </row>
    <row r="101" customFormat="false" ht="15" hidden="false" customHeight="false" outlineLevel="0" collapsed="false">
      <c r="A101" s="10"/>
      <c r="B101" s="10"/>
      <c r="C101" s="11"/>
      <c r="D101" s="11"/>
      <c r="E101" s="27"/>
      <c r="F101" s="27"/>
      <c r="G101" s="19" t="str">
        <f aca="false">IF(C101="","",IF(D101&lt;&gt;"","Completed",IF(C101&lt;Dashboard!$C$5,"Missed",IF(C101-Dashboard!$C$5&lt;=Lists!$O$3,"Due soon","Scheduled"))))</f>
        <v/>
      </c>
      <c r="H101" s="33" t="str">
        <f aca="false">IF(C101="","",IF(D101&lt;&gt;"",D101,C101)+Lists!$O$2)</f>
        <v/>
      </c>
      <c r="I101" s="10"/>
    </row>
    <row r="102" customFormat="false" ht="15" hidden="false" customHeight="false" outlineLevel="0" collapsed="false">
      <c r="A102" s="10"/>
      <c r="B102" s="10"/>
      <c r="C102" s="11"/>
      <c r="D102" s="11"/>
      <c r="E102" s="27"/>
      <c r="F102" s="27"/>
      <c r="G102" s="19" t="str">
        <f aca="false">IF(C102="","",IF(D102&lt;&gt;"","Completed",IF(C102&lt;Dashboard!$C$5,"Missed",IF(C102-Dashboard!$C$5&lt;=Lists!$O$3,"Due soon","Scheduled"))))</f>
        <v/>
      </c>
      <c r="H102" s="33" t="str">
        <f aca="false">IF(C102="","",IF(D102&lt;&gt;"",D102,C102)+Lists!$O$2)</f>
        <v/>
      </c>
      <c r="I102" s="10"/>
    </row>
    <row r="103" customFormat="false" ht="15" hidden="false" customHeight="false" outlineLevel="0" collapsed="false">
      <c r="A103" s="10"/>
      <c r="B103" s="10"/>
      <c r="C103" s="11"/>
      <c r="D103" s="11"/>
      <c r="E103" s="27"/>
      <c r="F103" s="27"/>
      <c r="G103" s="19" t="str">
        <f aca="false">IF(C103="","",IF(D103&lt;&gt;"","Completed",IF(C103&lt;Dashboard!$C$5,"Missed",IF(C103-Dashboard!$C$5&lt;=Lists!$O$3,"Due soon","Scheduled"))))</f>
        <v/>
      </c>
      <c r="H103" s="33" t="str">
        <f aca="false">IF(C103="","",IF(D103&lt;&gt;"",D103,C103)+Lists!$O$2)</f>
        <v/>
      </c>
      <c r="I103" s="10"/>
    </row>
    <row r="104" customFormat="false" ht="15" hidden="false" customHeight="false" outlineLevel="0" collapsed="false">
      <c r="A104" s="10"/>
      <c r="B104" s="10"/>
      <c r="C104" s="11"/>
      <c r="D104" s="11"/>
      <c r="E104" s="27"/>
      <c r="F104" s="27"/>
      <c r="G104" s="19" t="str">
        <f aca="false">IF(C104="","",IF(D104&lt;&gt;"","Completed",IF(C104&lt;Dashboard!$C$5,"Missed",IF(C104-Dashboard!$C$5&lt;=Lists!$O$3,"Due soon","Scheduled"))))</f>
        <v/>
      </c>
      <c r="H104" s="33" t="str">
        <f aca="false">IF(C104="","",IF(D104&lt;&gt;"",D104,C104)+Lists!$O$2)</f>
        <v/>
      </c>
      <c r="I104" s="10"/>
    </row>
    <row r="105" customFormat="false" ht="15" hidden="false" customHeight="false" outlineLevel="0" collapsed="false">
      <c r="A105" s="10"/>
      <c r="B105" s="10"/>
      <c r="C105" s="11"/>
      <c r="D105" s="11"/>
      <c r="E105" s="27"/>
      <c r="F105" s="27"/>
      <c r="G105" s="19" t="str">
        <f aca="false">IF(C105="","",IF(D105&lt;&gt;"","Completed",IF(C105&lt;Dashboard!$C$5,"Missed",IF(C105-Dashboard!$C$5&lt;=Lists!$O$3,"Due soon","Scheduled"))))</f>
        <v/>
      </c>
      <c r="H105" s="33" t="str">
        <f aca="false">IF(C105="","",IF(D105&lt;&gt;"",D105,C105)+Lists!$O$2)</f>
        <v/>
      </c>
      <c r="I105" s="10"/>
    </row>
    <row r="106" customFormat="false" ht="15" hidden="false" customHeight="false" outlineLevel="0" collapsed="false">
      <c r="A106" s="10"/>
      <c r="B106" s="10"/>
      <c r="C106" s="11"/>
      <c r="D106" s="11"/>
      <c r="E106" s="27"/>
      <c r="F106" s="27"/>
      <c r="G106" s="19" t="str">
        <f aca="false">IF(C106="","",IF(D106&lt;&gt;"","Completed",IF(C106&lt;Dashboard!$C$5,"Missed",IF(C106-Dashboard!$C$5&lt;=Lists!$O$3,"Due soon","Scheduled"))))</f>
        <v/>
      </c>
      <c r="H106" s="33" t="str">
        <f aca="false">IF(C106="","",IF(D106&lt;&gt;"",D106,C106)+Lists!$O$2)</f>
        <v/>
      </c>
      <c r="I106" s="10"/>
    </row>
    <row r="107" customFormat="false" ht="15" hidden="false" customHeight="false" outlineLevel="0" collapsed="false">
      <c r="A107" s="10"/>
      <c r="B107" s="10"/>
      <c r="C107" s="11"/>
      <c r="D107" s="11"/>
      <c r="E107" s="27"/>
      <c r="F107" s="27"/>
      <c r="G107" s="19" t="str">
        <f aca="false">IF(C107="","",IF(D107&lt;&gt;"","Completed",IF(C107&lt;Dashboard!$C$5,"Missed",IF(C107-Dashboard!$C$5&lt;=Lists!$O$3,"Due soon","Scheduled"))))</f>
        <v/>
      </c>
      <c r="H107" s="33" t="str">
        <f aca="false">IF(C107="","",IF(D107&lt;&gt;"",D107,C107)+Lists!$O$2)</f>
        <v/>
      </c>
      <c r="I107" s="10"/>
    </row>
    <row r="108" customFormat="false" ht="15" hidden="false" customHeight="false" outlineLevel="0" collapsed="false">
      <c r="A108" s="10"/>
      <c r="B108" s="10"/>
      <c r="C108" s="11"/>
      <c r="D108" s="11"/>
      <c r="E108" s="27"/>
      <c r="F108" s="27"/>
      <c r="G108" s="19" t="str">
        <f aca="false">IF(C108="","",IF(D108&lt;&gt;"","Completed",IF(C108&lt;Dashboard!$C$5,"Missed",IF(C108-Dashboard!$C$5&lt;=Lists!$O$3,"Due soon","Scheduled"))))</f>
        <v/>
      </c>
      <c r="H108" s="33" t="str">
        <f aca="false">IF(C108="","",IF(D108&lt;&gt;"",D108,C108)+Lists!$O$2)</f>
        <v/>
      </c>
      <c r="I108" s="10"/>
    </row>
    <row r="109" customFormat="false" ht="15" hidden="false" customHeight="false" outlineLevel="0" collapsed="false">
      <c r="A109" s="10"/>
      <c r="B109" s="10"/>
      <c r="C109" s="11"/>
      <c r="D109" s="11"/>
      <c r="E109" s="27"/>
      <c r="F109" s="27"/>
      <c r="G109" s="19" t="str">
        <f aca="false">IF(C109="","",IF(D109&lt;&gt;"","Completed",IF(C109&lt;Dashboard!$C$5,"Missed",IF(C109-Dashboard!$C$5&lt;=Lists!$O$3,"Due soon","Scheduled"))))</f>
        <v/>
      </c>
      <c r="H109" s="33" t="str">
        <f aca="false">IF(C109="","",IF(D109&lt;&gt;"",D109,C109)+Lists!$O$2)</f>
        <v/>
      </c>
      <c r="I109" s="10"/>
    </row>
    <row r="110" customFormat="false" ht="15" hidden="false" customHeight="false" outlineLevel="0" collapsed="false">
      <c r="A110" s="10"/>
      <c r="B110" s="10"/>
      <c r="C110" s="11"/>
      <c r="D110" s="11"/>
      <c r="E110" s="27"/>
      <c r="F110" s="27"/>
      <c r="G110" s="19" t="str">
        <f aca="false">IF(C110="","",IF(D110&lt;&gt;"","Completed",IF(C110&lt;Dashboard!$C$5,"Missed",IF(C110-Dashboard!$C$5&lt;=Lists!$O$3,"Due soon","Scheduled"))))</f>
        <v/>
      </c>
      <c r="H110" s="33" t="str">
        <f aca="false">IF(C110="","",IF(D110&lt;&gt;"",D110,C110)+Lists!$O$2)</f>
        <v/>
      </c>
      <c r="I110" s="10"/>
    </row>
    <row r="111" customFormat="false" ht="15" hidden="false" customHeight="false" outlineLevel="0" collapsed="false">
      <c r="A111" s="10"/>
      <c r="B111" s="10"/>
      <c r="C111" s="11"/>
      <c r="D111" s="11"/>
      <c r="E111" s="27"/>
      <c r="F111" s="27"/>
      <c r="G111" s="19" t="str">
        <f aca="false">IF(C111="","",IF(D111&lt;&gt;"","Completed",IF(C111&lt;Dashboard!$C$5,"Missed",IF(C111-Dashboard!$C$5&lt;=Lists!$O$3,"Due soon","Scheduled"))))</f>
        <v/>
      </c>
      <c r="H111" s="33" t="str">
        <f aca="false">IF(C111="","",IF(D111&lt;&gt;"",D111,C111)+Lists!$O$2)</f>
        <v/>
      </c>
      <c r="I111" s="10"/>
    </row>
    <row r="112" customFormat="false" ht="15" hidden="false" customHeight="false" outlineLevel="0" collapsed="false">
      <c r="A112" s="10"/>
      <c r="B112" s="10"/>
      <c r="C112" s="11"/>
      <c r="D112" s="11"/>
      <c r="E112" s="27"/>
      <c r="F112" s="27"/>
      <c r="G112" s="19" t="str">
        <f aca="false">IF(C112="","",IF(D112&lt;&gt;"","Completed",IF(C112&lt;Dashboard!$C$5,"Missed",IF(C112-Dashboard!$C$5&lt;=Lists!$O$3,"Due soon","Scheduled"))))</f>
        <v/>
      </c>
      <c r="H112" s="33" t="str">
        <f aca="false">IF(C112="","",IF(D112&lt;&gt;"",D112,C112)+Lists!$O$2)</f>
        <v/>
      </c>
      <c r="I112" s="10"/>
    </row>
    <row r="113" customFormat="false" ht="15" hidden="false" customHeight="false" outlineLevel="0" collapsed="false">
      <c r="A113" s="10"/>
      <c r="B113" s="10"/>
      <c r="C113" s="11"/>
      <c r="D113" s="11"/>
      <c r="E113" s="27"/>
      <c r="F113" s="27"/>
      <c r="G113" s="19" t="str">
        <f aca="false">IF(C113="","",IF(D113&lt;&gt;"","Completed",IF(C113&lt;Dashboard!$C$5,"Missed",IF(C113-Dashboard!$C$5&lt;=Lists!$O$3,"Due soon","Scheduled"))))</f>
        <v/>
      </c>
      <c r="H113" s="33" t="str">
        <f aca="false">IF(C113="","",IF(D113&lt;&gt;"",D113,C113)+Lists!$O$2)</f>
        <v/>
      </c>
      <c r="I113" s="10"/>
    </row>
    <row r="114" customFormat="false" ht="15" hidden="false" customHeight="false" outlineLevel="0" collapsed="false">
      <c r="A114" s="10"/>
      <c r="B114" s="10"/>
      <c r="C114" s="11"/>
      <c r="D114" s="11"/>
      <c r="E114" s="27"/>
      <c r="F114" s="27"/>
      <c r="G114" s="19" t="str">
        <f aca="false">IF(C114="","",IF(D114&lt;&gt;"","Completed",IF(C114&lt;Dashboard!$C$5,"Missed",IF(C114-Dashboard!$C$5&lt;=Lists!$O$3,"Due soon","Scheduled"))))</f>
        <v/>
      </c>
      <c r="H114" s="33" t="str">
        <f aca="false">IF(C114="","",IF(D114&lt;&gt;"",D114,C114)+Lists!$O$2)</f>
        <v/>
      </c>
      <c r="I114" s="10"/>
    </row>
    <row r="115" customFormat="false" ht="15" hidden="false" customHeight="false" outlineLevel="0" collapsed="false">
      <c r="A115" s="10"/>
      <c r="B115" s="10"/>
      <c r="C115" s="11"/>
      <c r="D115" s="11"/>
      <c r="E115" s="27"/>
      <c r="F115" s="27"/>
      <c r="G115" s="19" t="str">
        <f aca="false">IF(C115="","",IF(D115&lt;&gt;"","Completed",IF(C115&lt;Dashboard!$C$5,"Missed",IF(C115-Dashboard!$C$5&lt;=Lists!$O$3,"Due soon","Scheduled"))))</f>
        <v/>
      </c>
      <c r="H115" s="33" t="str">
        <f aca="false">IF(C115="","",IF(D115&lt;&gt;"",D115,C115)+Lists!$O$2)</f>
        <v/>
      </c>
      <c r="I115" s="10"/>
    </row>
    <row r="116" customFormat="false" ht="15" hidden="false" customHeight="false" outlineLevel="0" collapsed="false">
      <c r="A116" s="10"/>
      <c r="B116" s="10"/>
      <c r="C116" s="11"/>
      <c r="D116" s="11"/>
      <c r="E116" s="27"/>
      <c r="F116" s="27"/>
      <c r="G116" s="19" t="str">
        <f aca="false">IF(C116="","",IF(D116&lt;&gt;"","Completed",IF(C116&lt;Dashboard!$C$5,"Missed",IF(C116-Dashboard!$C$5&lt;=Lists!$O$3,"Due soon","Scheduled"))))</f>
        <v/>
      </c>
      <c r="H116" s="33" t="str">
        <f aca="false">IF(C116="","",IF(D116&lt;&gt;"",D116,C116)+Lists!$O$2)</f>
        <v/>
      </c>
      <c r="I116" s="10"/>
    </row>
    <row r="117" customFormat="false" ht="15" hidden="false" customHeight="false" outlineLevel="0" collapsed="false">
      <c r="A117" s="10"/>
      <c r="B117" s="10"/>
      <c r="C117" s="11"/>
      <c r="D117" s="11"/>
      <c r="E117" s="27"/>
      <c r="F117" s="27"/>
      <c r="G117" s="19" t="str">
        <f aca="false">IF(C117="","",IF(D117&lt;&gt;"","Completed",IF(C117&lt;Dashboard!$C$5,"Missed",IF(C117-Dashboard!$C$5&lt;=Lists!$O$3,"Due soon","Scheduled"))))</f>
        <v/>
      </c>
      <c r="H117" s="33" t="str">
        <f aca="false">IF(C117="","",IF(D117&lt;&gt;"",D117,C117)+Lists!$O$2)</f>
        <v/>
      </c>
      <c r="I117" s="10"/>
    </row>
    <row r="118" customFormat="false" ht="15" hidden="false" customHeight="false" outlineLevel="0" collapsed="false">
      <c r="A118" s="10"/>
      <c r="B118" s="10"/>
      <c r="C118" s="11"/>
      <c r="D118" s="11"/>
      <c r="E118" s="27"/>
      <c r="F118" s="27"/>
      <c r="G118" s="19" t="str">
        <f aca="false">IF(C118="","",IF(D118&lt;&gt;"","Completed",IF(C118&lt;Dashboard!$C$5,"Missed",IF(C118-Dashboard!$C$5&lt;=Lists!$O$3,"Due soon","Scheduled"))))</f>
        <v/>
      </c>
      <c r="H118" s="33" t="str">
        <f aca="false">IF(C118="","",IF(D118&lt;&gt;"",D118,C118)+Lists!$O$2)</f>
        <v/>
      </c>
      <c r="I118" s="10"/>
    </row>
    <row r="119" customFormat="false" ht="15" hidden="false" customHeight="false" outlineLevel="0" collapsed="false">
      <c r="A119" s="10"/>
      <c r="B119" s="10"/>
      <c r="C119" s="11"/>
      <c r="D119" s="11"/>
      <c r="E119" s="27"/>
      <c r="F119" s="27"/>
      <c r="G119" s="19" t="str">
        <f aca="false">IF(C119="","",IF(D119&lt;&gt;"","Completed",IF(C119&lt;Dashboard!$C$5,"Missed",IF(C119-Dashboard!$C$5&lt;=Lists!$O$3,"Due soon","Scheduled"))))</f>
        <v/>
      </c>
      <c r="H119" s="33" t="str">
        <f aca="false">IF(C119="","",IF(D119&lt;&gt;"",D119,C119)+Lists!$O$2)</f>
        <v/>
      </c>
      <c r="I119" s="10"/>
    </row>
    <row r="120" customFormat="false" ht="15" hidden="false" customHeight="false" outlineLevel="0" collapsed="false">
      <c r="A120" s="10"/>
      <c r="B120" s="10"/>
      <c r="C120" s="11"/>
      <c r="D120" s="11"/>
      <c r="E120" s="27"/>
      <c r="F120" s="27"/>
      <c r="G120" s="19" t="str">
        <f aca="false">IF(C120="","",IF(D120&lt;&gt;"","Completed",IF(C120&lt;Dashboard!$C$5,"Missed",IF(C120-Dashboard!$C$5&lt;=Lists!$O$3,"Due soon","Scheduled"))))</f>
        <v/>
      </c>
      <c r="H120" s="33" t="str">
        <f aca="false">IF(C120="","",IF(D120&lt;&gt;"",D120,C120)+Lists!$O$2)</f>
        <v/>
      </c>
      <c r="I120" s="10"/>
    </row>
    <row r="121" customFormat="false" ht="15" hidden="false" customHeight="false" outlineLevel="0" collapsed="false">
      <c r="A121" s="10"/>
      <c r="B121" s="10"/>
      <c r="C121" s="11"/>
      <c r="D121" s="11"/>
      <c r="E121" s="27"/>
      <c r="F121" s="27"/>
      <c r="G121" s="19" t="str">
        <f aca="false">IF(C121="","",IF(D121&lt;&gt;"","Completed",IF(C121&lt;Dashboard!$C$5,"Missed",IF(C121-Dashboard!$C$5&lt;=Lists!$O$3,"Due soon","Scheduled"))))</f>
        <v/>
      </c>
      <c r="H121" s="33" t="str">
        <f aca="false">IF(C121="","",IF(D121&lt;&gt;"",D121,C121)+Lists!$O$2)</f>
        <v/>
      </c>
      <c r="I121" s="10"/>
    </row>
    <row r="122" customFormat="false" ht="15" hidden="false" customHeight="false" outlineLevel="0" collapsed="false">
      <c r="A122" s="10"/>
      <c r="B122" s="10"/>
      <c r="C122" s="11"/>
      <c r="D122" s="11"/>
      <c r="E122" s="27"/>
      <c r="F122" s="27"/>
      <c r="G122" s="19" t="str">
        <f aca="false">IF(C122="","",IF(D122&lt;&gt;"","Completed",IF(C122&lt;Dashboard!$C$5,"Missed",IF(C122-Dashboard!$C$5&lt;=Lists!$O$3,"Due soon","Scheduled"))))</f>
        <v/>
      </c>
      <c r="H122" s="33" t="str">
        <f aca="false">IF(C122="","",IF(D122&lt;&gt;"",D122,C122)+Lists!$O$2)</f>
        <v/>
      </c>
      <c r="I122" s="10"/>
    </row>
    <row r="123" customFormat="false" ht="15" hidden="false" customHeight="false" outlineLevel="0" collapsed="false">
      <c r="A123" s="10"/>
      <c r="B123" s="10"/>
      <c r="C123" s="11"/>
      <c r="D123" s="11"/>
      <c r="E123" s="27"/>
      <c r="F123" s="27"/>
      <c r="G123" s="19" t="str">
        <f aca="false">IF(C123="","",IF(D123&lt;&gt;"","Completed",IF(C123&lt;Dashboard!$C$5,"Missed",IF(C123-Dashboard!$C$5&lt;=Lists!$O$3,"Due soon","Scheduled"))))</f>
        <v/>
      </c>
      <c r="H123" s="33" t="str">
        <f aca="false">IF(C123="","",IF(D123&lt;&gt;"",D123,C123)+Lists!$O$2)</f>
        <v/>
      </c>
      <c r="I123" s="10"/>
    </row>
    <row r="124" customFormat="false" ht="15" hidden="false" customHeight="false" outlineLevel="0" collapsed="false">
      <c r="A124" s="10"/>
      <c r="B124" s="10"/>
      <c r="C124" s="11"/>
      <c r="D124" s="11"/>
      <c r="E124" s="27"/>
      <c r="F124" s="27"/>
      <c r="G124" s="19" t="str">
        <f aca="false">IF(C124="","",IF(D124&lt;&gt;"","Completed",IF(C124&lt;Dashboard!$C$5,"Missed",IF(C124-Dashboard!$C$5&lt;=Lists!$O$3,"Due soon","Scheduled"))))</f>
        <v/>
      </c>
      <c r="H124" s="33" t="str">
        <f aca="false">IF(C124="","",IF(D124&lt;&gt;"",D124,C124)+Lists!$O$2)</f>
        <v/>
      </c>
      <c r="I124" s="10"/>
    </row>
  </sheetData>
  <conditionalFormatting sqref="G5:G12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"Due soon"</formula>
    </cfRule>
    <cfRule type="cellIs" priority="4" operator="equal" aboveAverage="0" equalAverage="0" bottom="0" percent="0" rank="0" text="" dxfId="1">
      <formula>"Scheduled"</formula>
    </cfRule>
    <cfRule type="cellIs" priority="5" operator="equal" aboveAverage="0" equalAverage="0" bottom="0" percent="0" rank="0" text="" dxfId="2">
      <formula>"Missed"</formula>
    </cfRule>
  </conditionalFormatting>
  <conditionalFormatting sqref="E5:F124">
    <cfRule type="cellIs" priority="6" operator="equal" aboveAverage="0" equalAverage="0" bottom="0" percent="0" rank="0" text="" dxfId="0">
      <formula>"Yes"</formula>
    </cfRule>
    <cfRule type="cellIs" priority="7" operator="equal" aboveAverage="0" equalAverage="0" bottom="0" percent="0" rank="0" text="" dxfId="2">
      <formula>"No"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E5:E12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F5:F124" type="list">
      <formula1>Lists!$B$2:$B$4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10" min="8" style="0" width="13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1" t="s">
        <v>285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286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3" t="s">
        <v>287</v>
      </c>
      <c r="B4" s="13" t="s">
        <v>288</v>
      </c>
      <c r="C4" s="13" t="s">
        <v>289</v>
      </c>
      <c r="D4" s="13" t="s">
        <v>290</v>
      </c>
      <c r="E4" s="13" t="s">
        <v>291</v>
      </c>
      <c r="F4" s="13" t="s">
        <v>292</v>
      </c>
      <c r="G4" s="13" t="s">
        <v>293</v>
      </c>
      <c r="H4" s="13" t="s">
        <v>294</v>
      </c>
      <c r="I4" s="13" t="s">
        <v>49</v>
      </c>
      <c r="J4" s="13" t="s">
        <v>295</v>
      </c>
      <c r="K4" s="13" t="s">
        <v>194</v>
      </c>
    </row>
    <row r="5" customFormat="false" ht="15" hidden="false" customHeight="false" outlineLevel="0" collapsed="false">
      <c r="A5" s="10" t="s">
        <v>296</v>
      </c>
      <c r="B5" s="10" t="s">
        <v>297</v>
      </c>
      <c r="C5" s="10" t="s">
        <v>298</v>
      </c>
      <c r="D5" s="27" t="s">
        <v>105</v>
      </c>
      <c r="E5" s="10" t="s">
        <v>299</v>
      </c>
      <c r="F5" s="11" t="n">
        <v>46188</v>
      </c>
      <c r="G5" s="12" t="n">
        <v>12</v>
      </c>
      <c r="H5" s="33" t="n">
        <f aca="false">IF(OR(F5="",G5=""),"",EDATE(F5,G5))</f>
        <v>46553</v>
      </c>
      <c r="I5" s="19" t="str">
        <f aca="false">IF(A5="","",IF(D5="No","Not required",IF(H5="","Not trained",IF(H5&lt;Dashboard!$C$5,"Expired",IF(H5-Dashboard!$C$5&lt;=Lists!$O$4,"Expiring","Current")))))</f>
        <v>Current</v>
      </c>
      <c r="J5" s="27" t="s">
        <v>105</v>
      </c>
      <c r="K5" s="10"/>
    </row>
    <row r="6" customFormat="false" ht="26.85" hidden="false" customHeight="false" outlineLevel="0" collapsed="false">
      <c r="A6" s="10" t="s">
        <v>300</v>
      </c>
      <c r="B6" s="10" t="s">
        <v>301</v>
      </c>
      <c r="C6" s="10" t="s">
        <v>302</v>
      </c>
      <c r="D6" s="27" t="s">
        <v>105</v>
      </c>
      <c r="E6" s="10" t="s">
        <v>303</v>
      </c>
      <c r="F6" s="11"/>
      <c r="G6" s="12" t="n">
        <v>12</v>
      </c>
      <c r="H6" s="33" t="str">
        <f aca="false">IF(OR(F6="",G6=""),"",EDATE(F6,G6))</f>
        <v/>
      </c>
      <c r="I6" s="19" t="str">
        <f aca="false">IF(A6="","",IF(D6="No","Not required",IF(H6="","Not trained",IF(H6&lt;Dashboard!$C$5,"Expired",IF(H6-Dashboard!$C$5&lt;=Lists!$O$4,"Expiring","Current")))))</f>
        <v>Not trained</v>
      </c>
      <c r="J6" s="27" t="s">
        <v>107</v>
      </c>
      <c r="K6" s="10" t="s">
        <v>304</v>
      </c>
    </row>
    <row r="7" customFormat="false" ht="15" hidden="false" customHeight="false" outlineLevel="0" collapsed="false">
      <c r="A7" s="10"/>
      <c r="B7" s="10"/>
      <c r="C7" s="10"/>
      <c r="D7" s="27"/>
      <c r="E7" s="10"/>
      <c r="F7" s="11"/>
      <c r="G7" s="12"/>
      <c r="H7" s="33" t="str">
        <f aca="false">IF(OR(F7="",G7=""),"",EDATE(F7,G7))</f>
        <v/>
      </c>
      <c r="I7" s="19" t="str">
        <f aca="false">IF(A7="","",IF(D7="No","Not required",IF(H7="","Not trained",IF(H7&lt;Dashboard!$C$5,"Expired",IF(H7-Dashboard!$C$5&lt;=Lists!$O$4,"Expiring","Current")))))</f>
        <v/>
      </c>
      <c r="J7" s="27"/>
      <c r="K7" s="10"/>
    </row>
    <row r="8" customFormat="false" ht="15" hidden="false" customHeight="false" outlineLevel="0" collapsed="false">
      <c r="A8" s="10"/>
      <c r="B8" s="10"/>
      <c r="C8" s="10"/>
      <c r="D8" s="27"/>
      <c r="E8" s="10"/>
      <c r="F8" s="11"/>
      <c r="G8" s="12"/>
      <c r="H8" s="33" t="str">
        <f aca="false">IF(OR(F8="",G8=""),"",EDATE(F8,G8))</f>
        <v/>
      </c>
      <c r="I8" s="19" t="str">
        <f aca="false">IF(A8="","",IF(D8="No","Not required",IF(H8="","Not trained",IF(H8&lt;Dashboard!$C$5,"Expired",IF(H8-Dashboard!$C$5&lt;=Lists!$O$4,"Expiring","Current")))))</f>
        <v/>
      </c>
      <c r="J8" s="27"/>
      <c r="K8" s="10"/>
    </row>
    <row r="9" customFormat="false" ht="15" hidden="false" customHeight="false" outlineLevel="0" collapsed="false">
      <c r="A9" s="10"/>
      <c r="B9" s="10"/>
      <c r="C9" s="10"/>
      <c r="D9" s="27"/>
      <c r="E9" s="10"/>
      <c r="F9" s="11"/>
      <c r="G9" s="12"/>
      <c r="H9" s="33" t="str">
        <f aca="false">IF(OR(F9="",G9=""),"",EDATE(F9,G9))</f>
        <v/>
      </c>
      <c r="I9" s="19" t="str">
        <f aca="false">IF(A9="","",IF(D9="No","Not required",IF(H9="","Not trained",IF(H9&lt;Dashboard!$C$5,"Expired",IF(H9-Dashboard!$C$5&lt;=Lists!$O$4,"Expiring","Current")))))</f>
        <v/>
      </c>
      <c r="J9" s="27"/>
      <c r="K9" s="10"/>
    </row>
    <row r="10" customFormat="false" ht="15" hidden="false" customHeight="false" outlineLevel="0" collapsed="false">
      <c r="A10" s="10"/>
      <c r="B10" s="10"/>
      <c r="C10" s="10"/>
      <c r="D10" s="27"/>
      <c r="E10" s="10"/>
      <c r="F10" s="11"/>
      <c r="G10" s="12"/>
      <c r="H10" s="33" t="str">
        <f aca="false">IF(OR(F10="",G10=""),"",EDATE(F10,G10))</f>
        <v/>
      </c>
      <c r="I10" s="19" t="str">
        <f aca="false">IF(A10="","",IF(D10="No","Not required",IF(H10="","Not trained",IF(H10&lt;Dashboard!$C$5,"Expired",IF(H10-Dashboard!$C$5&lt;=Lists!$O$4,"Expiring","Current")))))</f>
        <v/>
      </c>
      <c r="J10" s="27"/>
      <c r="K10" s="10"/>
    </row>
    <row r="11" customFormat="false" ht="15" hidden="false" customHeight="false" outlineLevel="0" collapsed="false">
      <c r="A11" s="10"/>
      <c r="B11" s="10"/>
      <c r="C11" s="10"/>
      <c r="D11" s="27"/>
      <c r="E11" s="10"/>
      <c r="F11" s="11"/>
      <c r="G11" s="12"/>
      <c r="H11" s="33" t="str">
        <f aca="false">IF(OR(F11="",G11=""),"",EDATE(F11,G11))</f>
        <v/>
      </c>
      <c r="I11" s="19" t="str">
        <f aca="false">IF(A11="","",IF(D11="No","Not required",IF(H11="","Not trained",IF(H11&lt;Dashboard!$C$5,"Expired",IF(H11-Dashboard!$C$5&lt;=Lists!$O$4,"Expiring","Current")))))</f>
        <v/>
      </c>
      <c r="J11" s="27"/>
      <c r="K11" s="10"/>
    </row>
    <row r="12" customFormat="false" ht="15" hidden="false" customHeight="false" outlineLevel="0" collapsed="false">
      <c r="A12" s="10"/>
      <c r="B12" s="10"/>
      <c r="C12" s="10"/>
      <c r="D12" s="27"/>
      <c r="E12" s="10"/>
      <c r="F12" s="11"/>
      <c r="G12" s="12"/>
      <c r="H12" s="33" t="str">
        <f aca="false">IF(OR(F12="",G12=""),"",EDATE(F12,G12))</f>
        <v/>
      </c>
      <c r="I12" s="19" t="str">
        <f aca="false">IF(A12="","",IF(D12="No","Not required",IF(H12="","Not trained",IF(H12&lt;Dashboard!$C$5,"Expired",IF(H12-Dashboard!$C$5&lt;=Lists!$O$4,"Expiring","Current")))))</f>
        <v/>
      </c>
      <c r="J12" s="27"/>
      <c r="K12" s="10"/>
    </row>
    <row r="13" customFormat="false" ht="15" hidden="false" customHeight="false" outlineLevel="0" collapsed="false">
      <c r="A13" s="10"/>
      <c r="B13" s="10"/>
      <c r="C13" s="10"/>
      <c r="D13" s="27"/>
      <c r="E13" s="10"/>
      <c r="F13" s="11"/>
      <c r="G13" s="12"/>
      <c r="H13" s="33" t="str">
        <f aca="false">IF(OR(F13="",G13=""),"",EDATE(F13,G13))</f>
        <v/>
      </c>
      <c r="I13" s="19" t="str">
        <f aca="false">IF(A13="","",IF(D13="No","Not required",IF(H13="","Not trained",IF(H13&lt;Dashboard!$C$5,"Expired",IF(H13-Dashboard!$C$5&lt;=Lists!$O$4,"Expiring","Current")))))</f>
        <v/>
      </c>
      <c r="J13" s="27"/>
      <c r="K13" s="10"/>
    </row>
    <row r="14" customFormat="false" ht="15" hidden="false" customHeight="false" outlineLevel="0" collapsed="false">
      <c r="A14" s="10"/>
      <c r="B14" s="10"/>
      <c r="C14" s="10"/>
      <c r="D14" s="27"/>
      <c r="E14" s="10"/>
      <c r="F14" s="11"/>
      <c r="G14" s="12"/>
      <c r="H14" s="33" t="str">
        <f aca="false">IF(OR(F14="",G14=""),"",EDATE(F14,G14))</f>
        <v/>
      </c>
      <c r="I14" s="19" t="str">
        <f aca="false">IF(A14="","",IF(D14="No","Not required",IF(H14="","Not trained",IF(H14&lt;Dashboard!$C$5,"Expired",IF(H14-Dashboard!$C$5&lt;=Lists!$O$4,"Expiring","Current")))))</f>
        <v/>
      </c>
      <c r="J14" s="27"/>
      <c r="K14" s="10"/>
    </row>
    <row r="15" customFormat="false" ht="15" hidden="false" customHeight="false" outlineLevel="0" collapsed="false">
      <c r="A15" s="10"/>
      <c r="B15" s="10"/>
      <c r="C15" s="10"/>
      <c r="D15" s="27"/>
      <c r="E15" s="10"/>
      <c r="F15" s="11"/>
      <c r="G15" s="12"/>
      <c r="H15" s="33" t="str">
        <f aca="false">IF(OR(F15="",G15=""),"",EDATE(F15,G15))</f>
        <v/>
      </c>
      <c r="I15" s="19" t="str">
        <f aca="false">IF(A15="","",IF(D15="No","Not required",IF(H15="","Not trained",IF(H15&lt;Dashboard!$C$5,"Expired",IF(H15-Dashboard!$C$5&lt;=Lists!$O$4,"Expiring","Current")))))</f>
        <v/>
      </c>
      <c r="J15" s="27"/>
      <c r="K15" s="10"/>
    </row>
    <row r="16" customFormat="false" ht="15" hidden="false" customHeight="false" outlineLevel="0" collapsed="false">
      <c r="A16" s="10"/>
      <c r="B16" s="10"/>
      <c r="C16" s="10"/>
      <c r="D16" s="27"/>
      <c r="E16" s="10"/>
      <c r="F16" s="11"/>
      <c r="G16" s="12"/>
      <c r="H16" s="33" t="str">
        <f aca="false">IF(OR(F16="",G16=""),"",EDATE(F16,G16))</f>
        <v/>
      </c>
      <c r="I16" s="19" t="str">
        <f aca="false">IF(A16="","",IF(D16="No","Not required",IF(H16="","Not trained",IF(H16&lt;Dashboard!$C$5,"Expired",IF(H16-Dashboard!$C$5&lt;=Lists!$O$4,"Expiring","Current")))))</f>
        <v/>
      </c>
      <c r="J16" s="27"/>
      <c r="K16" s="10"/>
    </row>
    <row r="17" customFormat="false" ht="15" hidden="false" customHeight="false" outlineLevel="0" collapsed="false">
      <c r="A17" s="10"/>
      <c r="B17" s="10"/>
      <c r="C17" s="10"/>
      <c r="D17" s="27"/>
      <c r="E17" s="10"/>
      <c r="F17" s="11"/>
      <c r="G17" s="12"/>
      <c r="H17" s="33" t="str">
        <f aca="false">IF(OR(F17="",G17=""),"",EDATE(F17,G17))</f>
        <v/>
      </c>
      <c r="I17" s="19" t="str">
        <f aca="false">IF(A17="","",IF(D17="No","Not required",IF(H17="","Not trained",IF(H17&lt;Dashboard!$C$5,"Expired",IF(H17-Dashboard!$C$5&lt;=Lists!$O$4,"Expiring","Current")))))</f>
        <v/>
      </c>
      <c r="J17" s="27"/>
      <c r="K17" s="10"/>
    </row>
    <row r="18" customFormat="false" ht="15" hidden="false" customHeight="false" outlineLevel="0" collapsed="false">
      <c r="A18" s="10"/>
      <c r="B18" s="10"/>
      <c r="C18" s="10"/>
      <c r="D18" s="27"/>
      <c r="E18" s="10"/>
      <c r="F18" s="11"/>
      <c r="G18" s="12"/>
      <c r="H18" s="33" t="str">
        <f aca="false">IF(OR(F18="",G18=""),"",EDATE(F18,G18))</f>
        <v/>
      </c>
      <c r="I18" s="19" t="str">
        <f aca="false">IF(A18="","",IF(D18="No","Not required",IF(H18="","Not trained",IF(H18&lt;Dashboard!$C$5,"Expired",IF(H18-Dashboard!$C$5&lt;=Lists!$O$4,"Expiring","Current")))))</f>
        <v/>
      </c>
      <c r="J18" s="27"/>
      <c r="K18" s="10"/>
    </row>
    <row r="19" customFormat="false" ht="15" hidden="false" customHeight="false" outlineLevel="0" collapsed="false">
      <c r="A19" s="10"/>
      <c r="B19" s="10"/>
      <c r="C19" s="10"/>
      <c r="D19" s="27"/>
      <c r="E19" s="10"/>
      <c r="F19" s="11"/>
      <c r="G19" s="12"/>
      <c r="H19" s="33" t="str">
        <f aca="false">IF(OR(F19="",G19=""),"",EDATE(F19,G19))</f>
        <v/>
      </c>
      <c r="I19" s="19" t="str">
        <f aca="false">IF(A19="","",IF(D19="No","Not required",IF(H19="","Not trained",IF(H19&lt;Dashboard!$C$5,"Expired",IF(H19-Dashboard!$C$5&lt;=Lists!$O$4,"Expiring","Current")))))</f>
        <v/>
      </c>
      <c r="J19" s="27"/>
      <c r="K19" s="10"/>
    </row>
    <row r="20" customFormat="false" ht="15" hidden="false" customHeight="false" outlineLevel="0" collapsed="false">
      <c r="A20" s="10"/>
      <c r="B20" s="10"/>
      <c r="C20" s="10"/>
      <c r="D20" s="27"/>
      <c r="E20" s="10"/>
      <c r="F20" s="11"/>
      <c r="G20" s="12"/>
      <c r="H20" s="33" t="str">
        <f aca="false">IF(OR(F20="",G20=""),"",EDATE(F20,G20))</f>
        <v/>
      </c>
      <c r="I20" s="19" t="str">
        <f aca="false">IF(A20="","",IF(D20="No","Not required",IF(H20="","Not trained",IF(H20&lt;Dashboard!$C$5,"Expired",IF(H20-Dashboard!$C$5&lt;=Lists!$O$4,"Expiring","Current")))))</f>
        <v/>
      </c>
      <c r="J20" s="27"/>
      <c r="K20" s="10"/>
    </row>
    <row r="21" customFormat="false" ht="15" hidden="false" customHeight="false" outlineLevel="0" collapsed="false">
      <c r="A21" s="10"/>
      <c r="B21" s="10"/>
      <c r="C21" s="10"/>
      <c r="D21" s="27"/>
      <c r="E21" s="10"/>
      <c r="F21" s="11"/>
      <c r="G21" s="12"/>
      <c r="H21" s="33" t="str">
        <f aca="false">IF(OR(F21="",G21=""),"",EDATE(F21,G21))</f>
        <v/>
      </c>
      <c r="I21" s="19" t="str">
        <f aca="false">IF(A21="","",IF(D21="No","Not required",IF(H21="","Not trained",IF(H21&lt;Dashboard!$C$5,"Expired",IF(H21-Dashboard!$C$5&lt;=Lists!$O$4,"Expiring","Current")))))</f>
        <v/>
      </c>
      <c r="J21" s="27"/>
      <c r="K21" s="10"/>
    </row>
    <row r="22" customFormat="false" ht="15" hidden="false" customHeight="false" outlineLevel="0" collapsed="false">
      <c r="A22" s="10"/>
      <c r="B22" s="10"/>
      <c r="C22" s="10"/>
      <c r="D22" s="27"/>
      <c r="E22" s="10"/>
      <c r="F22" s="11"/>
      <c r="G22" s="12"/>
      <c r="H22" s="33" t="str">
        <f aca="false">IF(OR(F22="",G22=""),"",EDATE(F22,G22))</f>
        <v/>
      </c>
      <c r="I22" s="19" t="str">
        <f aca="false">IF(A22="","",IF(D22="No","Not required",IF(H22="","Not trained",IF(H22&lt;Dashboard!$C$5,"Expired",IF(H22-Dashboard!$C$5&lt;=Lists!$O$4,"Expiring","Current")))))</f>
        <v/>
      </c>
      <c r="J22" s="27"/>
      <c r="K22" s="10"/>
    </row>
    <row r="23" customFormat="false" ht="15" hidden="false" customHeight="false" outlineLevel="0" collapsed="false">
      <c r="A23" s="10"/>
      <c r="B23" s="10"/>
      <c r="C23" s="10"/>
      <c r="D23" s="27"/>
      <c r="E23" s="10"/>
      <c r="F23" s="11"/>
      <c r="G23" s="12"/>
      <c r="H23" s="33" t="str">
        <f aca="false">IF(OR(F23="",G23=""),"",EDATE(F23,G23))</f>
        <v/>
      </c>
      <c r="I23" s="19" t="str">
        <f aca="false">IF(A23="","",IF(D23="No","Not required",IF(H23="","Not trained",IF(H23&lt;Dashboard!$C$5,"Expired",IF(H23-Dashboard!$C$5&lt;=Lists!$O$4,"Expiring","Current")))))</f>
        <v/>
      </c>
      <c r="J23" s="27"/>
      <c r="K23" s="10"/>
    </row>
    <row r="24" customFormat="false" ht="15" hidden="false" customHeight="false" outlineLevel="0" collapsed="false">
      <c r="A24" s="10"/>
      <c r="B24" s="10"/>
      <c r="C24" s="10"/>
      <c r="D24" s="27"/>
      <c r="E24" s="10"/>
      <c r="F24" s="11"/>
      <c r="G24" s="12"/>
      <c r="H24" s="33" t="str">
        <f aca="false">IF(OR(F24="",G24=""),"",EDATE(F24,G24))</f>
        <v/>
      </c>
      <c r="I24" s="19" t="str">
        <f aca="false">IF(A24="","",IF(D24="No","Not required",IF(H24="","Not trained",IF(H24&lt;Dashboard!$C$5,"Expired",IF(H24-Dashboard!$C$5&lt;=Lists!$O$4,"Expiring","Current")))))</f>
        <v/>
      </c>
      <c r="J24" s="27"/>
      <c r="K24" s="10"/>
    </row>
    <row r="25" customFormat="false" ht="15" hidden="false" customHeight="false" outlineLevel="0" collapsed="false">
      <c r="A25" s="10"/>
      <c r="B25" s="10"/>
      <c r="C25" s="10"/>
      <c r="D25" s="27"/>
      <c r="E25" s="10"/>
      <c r="F25" s="11"/>
      <c r="G25" s="12"/>
      <c r="H25" s="33" t="str">
        <f aca="false">IF(OR(F25="",G25=""),"",EDATE(F25,G25))</f>
        <v/>
      </c>
      <c r="I25" s="19" t="str">
        <f aca="false">IF(A25="","",IF(D25="No","Not required",IF(H25="","Not trained",IF(H25&lt;Dashboard!$C$5,"Expired",IF(H25-Dashboard!$C$5&lt;=Lists!$O$4,"Expiring","Current")))))</f>
        <v/>
      </c>
      <c r="J25" s="27"/>
      <c r="K25" s="10"/>
    </row>
    <row r="26" customFormat="false" ht="15" hidden="false" customHeight="false" outlineLevel="0" collapsed="false">
      <c r="A26" s="10"/>
      <c r="B26" s="10"/>
      <c r="C26" s="10"/>
      <c r="D26" s="27"/>
      <c r="E26" s="10"/>
      <c r="F26" s="11"/>
      <c r="G26" s="12"/>
      <c r="H26" s="33" t="str">
        <f aca="false">IF(OR(F26="",G26=""),"",EDATE(F26,G26))</f>
        <v/>
      </c>
      <c r="I26" s="19" t="str">
        <f aca="false">IF(A26="","",IF(D26="No","Not required",IF(H26="","Not trained",IF(H26&lt;Dashboard!$C$5,"Expired",IF(H26-Dashboard!$C$5&lt;=Lists!$O$4,"Expiring","Current")))))</f>
        <v/>
      </c>
      <c r="J26" s="27"/>
      <c r="K26" s="10"/>
    </row>
    <row r="27" customFormat="false" ht="15" hidden="false" customHeight="false" outlineLevel="0" collapsed="false">
      <c r="A27" s="10"/>
      <c r="B27" s="10"/>
      <c r="C27" s="10"/>
      <c r="D27" s="27"/>
      <c r="E27" s="10"/>
      <c r="F27" s="11"/>
      <c r="G27" s="12"/>
      <c r="H27" s="33" t="str">
        <f aca="false">IF(OR(F27="",G27=""),"",EDATE(F27,G27))</f>
        <v/>
      </c>
      <c r="I27" s="19" t="str">
        <f aca="false">IF(A27="","",IF(D27="No","Not required",IF(H27="","Not trained",IF(H27&lt;Dashboard!$C$5,"Expired",IF(H27-Dashboard!$C$5&lt;=Lists!$O$4,"Expiring","Current")))))</f>
        <v/>
      </c>
      <c r="J27" s="27"/>
      <c r="K27" s="10"/>
    </row>
    <row r="28" customFormat="false" ht="15" hidden="false" customHeight="false" outlineLevel="0" collapsed="false">
      <c r="A28" s="10"/>
      <c r="B28" s="10"/>
      <c r="C28" s="10"/>
      <c r="D28" s="27"/>
      <c r="E28" s="10"/>
      <c r="F28" s="11"/>
      <c r="G28" s="12"/>
      <c r="H28" s="33" t="str">
        <f aca="false">IF(OR(F28="",G28=""),"",EDATE(F28,G28))</f>
        <v/>
      </c>
      <c r="I28" s="19" t="str">
        <f aca="false">IF(A28="","",IF(D28="No","Not required",IF(H28="","Not trained",IF(H28&lt;Dashboard!$C$5,"Expired",IF(H28-Dashboard!$C$5&lt;=Lists!$O$4,"Expiring","Current")))))</f>
        <v/>
      </c>
      <c r="J28" s="27"/>
      <c r="K28" s="10"/>
    </row>
    <row r="29" customFormat="false" ht="15" hidden="false" customHeight="false" outlineLevel="0" collapsed="false">
      <c r="A29" s="10"/>
      <c r="B29" s="10"/>
      <c r="C29" s="10"/>
      <c r="D29" s="27"/>
      <c r="E29" s="10"/>
      <c r="F29" s="11"/>
      <c r="G29" s="12"/>
      <c r="H29" s="33" t="str">
        <f aca="false">IF(OR(F29="",G29=""),"",EDATE(F29,G29))</f>
        <v/>
      </c>
      <c r="I29" s="19" t="str">
        <f aca="false">IF(A29="","",IF(D29="No","Not required",IF(H29="","Not trained",IF(H29&lt;Dashboard!$C$5,"Expired",IF(H29-Dashboard!$C$5&lt;=Lists!$O$4,"Expiring","Current")))))</f>
        <v/>
      </c>
      <c r="J29" s="27"/>
      <c r="K29" s="10"/>
    </row>
    <row r="30" customFormat="false" ht="15" hidden="false" customHeight="false" outlineLevel="0" collapsed="false">
      <c r="A30" s="10"/>
      <c r="B30" s="10"/>
      <c r="C30" s="10"/>
      <c r="D30" s="27"/>
      <c r="E30" s="10"/>
      <c r="F30" s="11"/>
      <c r="G30" s="12"/>
      <c r="H30" s="33" t="str">
        <f aca="false">IF(OR(F30="",G30=""),"",EDATE(F30,G30))</f>
        <v/>
      </c>
      <c r="I30" s="19" t="str">
        <f aca="false">IF(A30="","",IF(D30="No","Not required",IF(H30="","Not trained",IF(H30&lt;Dashboard!$C$5,"Expired",IF(H30-Dashboard!$C$5&lt;=Lists!$O$4,"Expiring","Current")))))</f>
        <v/>
      </c>
      <c r="J30" s="27"/>
      <c r="K30" s="10"/>
    </row>
    <row r="31" customFormat="false" ht="15" hidden="false" customHeight="false" outlineLevel="0" collapsed="false">
      <c r="A31" s="10"/>
      <c r="B31" s="10"/>
      <c r="C31" s="10"/>
      <c r="D31" s="27"/>
      <c r="E31" s="10"/>
      <c r="F31" s="11"/>
      <c r="G31" s="12"/>
      <c r="H31" s="33" t="str">
        <f aca="false">IF(OR(F31="",G31=""),"",EDATE(F31,G31))</f>
        <v/>
      </c>
      <c r="I31" s="19" t="str">
        <f aca="false">IF(A31="","",IF(D31="No","Not required",IF(H31="","Not trained",IF(H31&lt;Dashboard!$C$5,"Expired",IF(H31-Dashboard!$C$5&lt;=Lists!$O$4,"Expiring","Current")))))</f>
        <v/>
      </c>
      <c r="J31" s="27"/>
      <c r="K31" s="10"/>
    </row>
    <row r="32" customFormat="false" ht="15" hidden="false" customHeight="false" outlineLevel="0" collapsed="false">
      <c r="A32" s="10"/>
      <c r="B32" s="10"/>
      <c r="C32" s="10"/>
      <c r="D32" s="27"/>
      <c r="E32" s="10"/>
      <c r="F32" s="11"/>
      <c r="G32" s="12"/>
      <c r="H32" s="33" t="str">
        <f aca="false">IF(OR(F32="",G32=""),"",EDATE(F32,G32))</f>
        <v/>
      </c>
      <c r="I32" s="19" t="str">
        <f aca="false">IF(A32="","",IF(D32="No","Not required",IF(H32="","Not trained",IF(H32&lt;Dashboard!$C$5,"Expired",IF(H32-Dashboard!$C$5&lt;=Lists!$O$4,"Expiring","Current")))))</f>
        <v/>
      </c>
      <c r="J32" s="27"/>
      <c r="K32" s="10"/>
    </row>
    <row r="33" customFormat="false" ht="15" hidden="false" customHeight="false" outlineLevel="0" collapsed="false">
      <c r="A33" s="10"/>
      <c r="B33" s="10"/>
      <c r="C33" s="10"/>
      <c r="D33" s="27"/>
      <c r="E33" s="10"/>
      <c r="F33" s="11"/>
      <c r="G33" s="12"/>
      <c r="H33" s="33" t="str">
        <f aca="false">IF(OR(F33="",G33=""),"",EDATE(F33,G33))</f>
        <v/>
      </c>
      <c r="I33" s="19" t="str">
        <f aca="false">IF(A33="","",IF(D33="No","Not required",IF(H33="","Not trained",IF(H33&lt;Dashboard!$C$5,"Expired",IF(H33-Dashboard!$C$5&lt;=Lists!$O$4,"Expiring","Current")))))</f>
        <v/>
      </c>
      <c r="J33" s="27"/>
      <c r="K33" s="10"/>
    </row>
    <row r="34" customFormat="false" ht="15" hidden="false" customHeight="false" outlineLevel="0" collapsed="false">
      <c r="A34" s="10"/>
      <c r="B34" s="10"/>
      <c r="C34" s="10"/>
      <c r="D34" s="27"/>
      <c r="E34" s="10"/>
      <c r="F34" s="11"/>
      <c r="G34" s="12"/>
      <c r="H34" s="33" t="str">
        <f aca="false">IF(OR(F34="",G34=""),"",EDATE(F34,G34))</f>
        <v/>
      </c>
      <c r="I34" s="19" t="str">
        <f aca="false">IF(A34="","",IF(D34="No","Not required",IF(H34="","Not trained",IF(H34&lt;Dashboard!$C$5,"Expired",IF(H34-Dashboard!$C$5&lt;=Lists!$O$4,"Expiring","Current")))))</f>
        <v/>
      </c>
      <c r="J34" s="27"/>
      <c r="K34" s="10"/>
    </row>
    <row r="35" customFormat="false" ht="15" hidden="false" customHeight="false" outlineLevel="0" collapsed="false">
      <c r="A35" s="10"/>
      <c r="B35" s="10"/>
      <c r="C35" s="10"/>
      <c r="D35" s="27"/>
      <c r="E35" s="10"/>
      <c r="F35" s="11"/>
      <c r="G35" s="12"/>
      <c r="H35" s="33" t="str">
        <f aca="false">IF(OR(F35="",G35=""),"",EDATE(F35,G35))</f>
        <v/>
      </c>
      <c r="I35" s="19" t="str">
        <f aca="false">IF(A35="","",IF(D35="No","Not required",IF(H35="","Not trained",IF(H35&lt;Dashboard!$C$5,"Expired",IF(H35-Dashboard!$C$5&lt;=Lists!$O$4,"Expiring","Current")))))</f>
        <v/>
      </c>
      <c r="J35" s="27"/>
      <c r="K35" s="10"/>
    </row>
    <row r="36" customFormat="false" ht="15" hidden="false" customHeight="false" outlineLevel="0" collapsed="false">
      <c r="A36" s="10"/>
      <c r="B36" s="10"/>
      <c r="C36" s="10"/>
      <c r="D36" s="27"/>
      <c r="E36" s="10"/>
      <c r="F36" s="11"/>
      <c r="G36" s="12"/>
      <c r="H36" s="33" t="str">
        <f aca="false">IF(OR(F36="",G36=""),"",EDATE(F36,G36))</f>
        <v/>
      </c>
      <c r="I36" s="19" t="str">
        <f aca="false">IF(A36="","",IF(D36="No","Not required",IF(H36="","Not trained",IF(H36&lt;Dashboard!$C$5,"Expired",IF(H36-Dashboard!$C$5&lt;=Lists!$O$4,"Expiring","Current")))))</f>
        <v/>
      </c>
      <c r="J36" s="27"/>
      <c r="K36" s="10"/>
    </row>
    <row r="37" customFormat="false" ht="15" hidden="false" customHeight="false" outlineLevel="0" collapsed="false">
      <c r="A37" s="10"/>
      <c r="B37" s="10"/>
      <c r="C37" s="10"/>
      <c r="D37" s="27"/>
      <c r="E37" s="10"/>
      <c r="F37" s="11"/>
      <c r="G37" s="12"/>
      <c r="H37" s="33" t="str">
        <f aca="false">IF(OR(F37="",G37=""),"",EDATE(F37,G37))</f>
        <v/>
      </c>
      <c r="I37" s="19" t="str">
        <f aca="false">IF(A37="","",IF(D37="No","Not required",IF(H37="","Not trained",IF(H37&lt;Dashboard!$C$5,"Expired",IF(H37-Dashboard!$C$5&lt;=Lists!$O$4,"Expiring","Current")))))</f>
        <v/>
      </c>
      <c r="J37" s="27"/>
      <c r="K37" s="10"/>
    </row>
    <row r="38" customFormat="false" ht="15" hidden="false" customHeight="false" outlineLevel="0" collapsed="false">
      <c r="A38" s="10"/>
      <c r="B38" s="10"/>
      <c r="C38" s="10"/>
      <c r="D38" s="27"/>
      <c r="E38" s="10"/>
      <c r="F38" s="11"/>
      <c r="G38" s="12"/>
      <c r="H38" s="33" t="str">
        <f aca="false">IF(OR(F38="",G38=""),"",EDATE(F38,G38))</f>
        <v/>
      </c>
      <c r="I38" s="19" t="str">
        <f aca="false">IF(A38="","",IF(D38="No","Not required",IF(H38="","Not trained",IF(H38&lt;Dashboard!$C$5,"Expired",IF(H38-Dashboard!$C$5&lt;=Lists!$O$4,"Expiring","Current")))))</f>
        <v/>
      </c>
      <c r="J38" s="27"/>
      <c r="K38" s="10"/>
    </row>
    <row r="39" customFormat="false" ht="15" hidden="false" customHeight="false" outlineLevel="0" collapsed="false">
      <c r="A39" s="10"/>
      <c r="B39" s="10"/>
      <c r="C39" s="10"/>
      <c r="D39" s="27"/>
      <c r="E39" s="10"/>
      <c r="F39" s="11"/>
      <c r="G39" s="12"/>
      <c r="H39" s="33" t="str">
        <f aca="false">IF(OR(F39="",G39=""),"",EDATE(F39,G39))</f>
        <v/>
      </c>
      <c r="I39" s="19" t="str">
        <f aca="false">IF(A39="","",IF(D39="No","Not required",IF(H39="","Not trained",IF(H39&lt;Dashboard!$C$5,"Expired",IF(H39-Dashboard!$C$5&lt;=Lists!$O$4,"Expiring","Current")))))</f>
        <v/>
      </c>
      <c r="J39" s="27"/>
      <c r="K39" s="10"/>
    </row>
    <row r="40" customFormat="false" ht="15" hidden="false" customHeight="false" outlineLevel="0" collapsed="false">
      <c r="A40" s="10"/>
      <c r="B40" s="10"/>
      <c r="C40" s="10"/>
      <c r="D40" s="27"/>
      <c r="E40" s="10"/>
      <c r="F40" s="11"/>
      <c r="G40" s="12"/>
      <c r="H40" s="33" t="str">
        <f aca="false">IF(OR(F40="",G40=""),"",EDATE(F40,G40))</f>
        <v/>
      </c>
      <c r="I40" s="19" t="str">
        <f aca="false">IF(A40="","",IF(D40="No","Not required",IF(H40="","Not trained",IF(H40&lt;Dashboard!$C$5,"Expired",IF(H40-Dashboard!$C$5&lt;=Lists!$O$4,"Expiring","Current")))))</f>
        <v/>
      </c>
      <c r="J40" s="27"/>
      <c r="K40" s="10"/>
    </row>
    <row r="41" customFormat="false" ht="15" hidden="false" customHeight="false" outlineLevel="0" collapsed="false">
      <c r="A41" s="10"/>
      <c r="B41" s="10"/>
      <c r="C41" s="10"/>
      <c r="D41" s="27"/>
      <c r="E41" s="10"/>
      <c r="F41" s="11"/>
      <c r="G41" s="12"/>
      <c r="H41" s="33" t="str">
        <f aca="false">IF(OR(F41="",G41=""),"",EDATE(F41,G41))</f>
        <v/>
      </c>
      <c r="I41" s="19" t="str">
        <f aca="false">IF(A41="","",IF(D41="No","Not required",IF(H41="","Not trained",IF(H41&lt;Dashboard!$C$5,"Expired",IF(H41-Dashboard!$C$5&lt;=Lists!$O$4,"Expiring","Current")))))</f>
        <v/>
      </c>
      <c r="J41" s="27"/>
      <c r="K41" s="10"/>
    </row>
    <row r="42" customFormat="false" ht="15" hidden="false" customHeight="false" outlineLevel="0" collapsed="false">
      <c r="A42" s="10"/>
      <c r="B42" s="10"/>
      <c r="C42" s="10"/>
      <c r="D42" s="27"/>
      <c r="E42" s="10"/>
      <c r="F42" s="11"/>
      <c r="G42" s="12"/>
      <c r="H42" s="33" t="str">
        <f aca="false">IF(OR(F42="",G42=""),"",EDATE(F42,G42))</f>
        <v/>
      </c>
      <c r="I42" s="19" t="str">
        <f aca="false">IF(A42="","",IF(D42="No","Not required",IF(H42="","Not trained",IF(H42&lt;Dashboard!$C$5,"Expired",IF(H42-Dashboard!$C$5&lt;=Lists!$O$4,"Expiring","Current")))))</f>
        <v/>
      </c>
      <c r="J42" s="27"/>
      <c r="K42" s="10"/>
    </row>
    <row r="43" customFormat="false" ht="15" hidden="false" customHeight="false" outlineLevel="0" collapsed="false">
      <c r="A43" s="10"/>
      <c r="B43" s="10"/>
      <c r="C43" s="10"/>
      <c r="D43" s="27"/>
      <c r="E43" s="10"/>
      <c r="F43" s="11"/>
      <c r="G43" s="12"/>
      <c r="H43" s="33" t="str">
        <f aca="false">IF(OR(F43="",G43=""),"",EDATE(F43,G43))</f>
        <v/>
      </c>
      <c r="I43" s="19" t="str">
        <f aca="false">IF(A43="","",IF(D43="No","Not required",IF(H43="","Not trained",IF(H43&lt;Dashboard!$C$5,"Expired",IF(H43-Dashboard!$C$5&lt;=Lists!$O$4,"Expiring","Current")))))</f>
        <v/>
      </c>
      <c r="J43" s="27"/>
      <c r="K43" s="10"/>
    </row>
    <row r="44" customFormat="false" ht="15" hidden="false" customHeight="false" outlineLevel="0" collapsed="false">
      <c r="A44" s="10"/>
      <c r="B44" s="10"/>
      <c r="C44" s="10"/>
      <c r="D44" s="27"/>
      <c r="E44" s="10"/>
      <c r="F44" s="11"/>
      <c r="G44" s="12"/>
      <c r="H44" s="33" t="str">
        <f aca="false">IF(OR(F44="",G44=""),"",EDATE(F44,G44))</f>
        <v/>
      </c>
      <c r="I44" s="19" t="str">
        <f aca="false">IF(A44="","",IF(D44="No","Not required",IF(H44="","Not trained",IF(H44&lt;Dashboard!$C$5,"Expired",IF(H44-Dashboard!$C$5&lt;=Lists!$O$4,"Expiring","Current")))))</f>
        <v/>
      </c>
      <c r="J44" s="27"/>
      <c r="K44" s="10"/>
    </row>
    <row r="45" customFormat="false" ht="15" hidden="false" customHeight="false" outlineLevel="0" collapsed="false">
      <c r="A45" s="10"/>
      <c r="B45" s="10"/>
      <c r="C45" s="10"/>
      <c r="D45" s="27"/>
      <c r="E45" s="10"/>
      <c r="F45" s="11"/>
      <c r="G45" s="12"/>
      <c r="H45" s="33" t="str">
        <f aca="false">IF(OR(F45="",G45=""),"",EDATE(F45,G45))</f>
        <v/>
      </c>
      <c r="I45" s="19" t="str">
        <f aca="false">IF(A45="","",IF(D45="No","Not required",IF(H45="","Not trained",IF(H45&lt;Dashboard!$C$5,"Expired",IF(H45-Dashboard!$C$5&lt;=Lists!$O$4,"Expiring","Current")))))</f>
        <v/>
      </c>
      <c r="J45" s="27"/>
      <c r="K45" s="10"/>
    </row>
    <row r="46" customFormat="false" ht="15" hidden="false" customHeight="false" outlineLevel="0" collapsed="false">
      <c r="A46" s="10"/>
      <c r="B46" s="10"/>
      <c r="C46" s="10"/>
      <c r="D46" s="27"/>
      <c r="E46" s="10"/>
      <c r="F46" s="11"/>
      <c r="G46" s="12"/>
      <c r="H46" s="33" t="str">
        <f aca="false">IF(OR(F46="",G46=""),"",EDATE(F46,G46))</f>
        <v/>
      </c>
      <c r="I46" s="19" t="str">
        <f aca="false">IF(A46="","",IF(D46="No","Not required",IF(H46="","Not trained",IF(H46&lt;Dashboard!$C$5,"Expired",IF(H46-Dashboard!$C$5&lt;=Lists!$O$4,"Expiring","Current")))))</f>
        <v/>
      </c>
      <c r="J46" s="27"/>
      <c r="K46" s="10"/>
    </row>
    <row r="47" customFormat="false" ht="15" hidden="false" customHeight="false" outlineLevel="0" collapsed="false">
      <c r="A47" s="10"/>
      <c r="B47" s="10"/>
      <c r="C47" s="10"/>
      <c r="D47" s="27"/>
      <c r="E47" s="10"/>
      <c r="F47" s="11"/>
      <c r="G47" s="12"/>
      <c r="H47" s="33" t="str">
        <f aca="false">IF(OR(F47="",G47=""),"",EDATE(F47,G47))</f>
        <v/>
      </c>
      <c r="I47" s="19" t="str">
        <f aca="false">IF(A47="","",IF(D47="No","Not required",IF(H47="","Not trained",IF(H47&lt;Dashboard!$C$5,"Expired",IF(H47-Dashboard!$C$5&lt;=Lists!$O$4,"Expiring","Current")))))</f>
        <v/>
      </c>
      <c r="J47" s="27"/>
      <c r="K47" s="10"/>
    </row>
    <row r="48" customFormat="false" ht="15" hidden="false" customHeight="false" outlineLevel="0" collapsed="false">
      <c r="A48" s="10"/>
      <c r="B48" s="10"/>
      <c r="C48" s="10"/>
      <c r="D48" s="27"/>
      <c r="E48" s="10"/>
      <c r="F48" s="11"/>
      <c r="G48" s="12"/>
      <c r="H48" s="33" t="str">
        <f aca="false">IF(OR(F48="",G48=""),"",EDATE(F48,G48))</f>
        <v/>
      </c>
      <c r="I48" s="19" t="str">
        <f aca="false">IF(A48="","",IF(D48="No","Not required",IF(H48="","Not trained",IF(H48&lt;Dashboard!$C$5,"Expired",IF(H48-Dashboard!$C$5&lt;=Lists!$O$4,"Expiring","Current")))))</f>
        <v/>
      </c>
      <c r="J48" s="27"/>
      <c r="K48" s="10"/>
    </row>
    <row r="49" customFormat="false" ht="15" hidden="false" customHeight="false" outlineLevel="0" collapsed="false">
      <c r="A49" s="10"/>
      <c r="B49" s="10"/>
      <c r="C49" s="10"/>
      <c r="D49" s="27"/>
      <c r="E49" s="10"/>
      <c r="F49" s="11"/>
      <c r="G49" s="12"/>
      <c r="H49" s="33" t="str">
        <f aca="false">IF(OR(F49="",G49=""),"",EDATE(F49,G49))</f>
        <v/>
      </c>
      <c r="I49" s="19" t="str">
        <f aca="false">IF(A49="","",IF(D49="No","Not required",IF(H49="","Not trained",IF(H49&lt;Dashboard!$C$5,"Expired",IF(H49-Dashboard!$C$5&lt;=Lists!$O$4,"Expiring","Current")))))</f>
        <v/>
      </c>
      <c r="J49" s="27"/>
      <c r="K49" s="10"/>
    </row>
    <row r="50" customFormat="false" ht="15" hidden="false" customHeight="false" outlineLevel="0" collapsed="false">
      <c r="A50" s="10"/>
      <c r="B50" s="10"/>
      <c r="C50" s="10"/>
      <c r="D50" s="27"/>
      <c r="E50" s="10"/>
      <c r="F50" s="11"/>
      <c r="G50" s="12"/>
      <c r="H50" s="33" t="str">
        <f aca="false">IF(OR(F50="",G50=""),"",EDATE(F50,G50))</f>
        <v/>
      </c>
      <c r="I50" s="19" t="str">
        <f aca="false">IF(A50="","",IF(D50="No","Not required",IF(H50="","Not trained",IF(H50&lt;Dashboard!$C$5,"Expired",IF(H50-Dashboard!$C$5&lt;=Lists!$O$4,"Expiring","Current")))))</f>
        <v/>
      </c>
      <c r="J50" s="27"/>
      <c r="K50" s="10"/>
    </row>
    <row r="51" customFormat="false" ht="15" hidden="false" customHeight="false" outlineLevel="0" collapsed="false">
      <c r="A51" s="10"/>
      <c r="B51" s="10"/>
      <c r="C51" s="10"/>
      <c r="D51" s="27"/>
      <c r="E51" s="10"/>
      <c r="F51" s="11"/>
      <c r="G51" s="12"/>
      <c r="H51" s="33" t="str">
        <f aca="false">IF(OR(F51="",G51=""),"",EDATE(F51,G51))</f>
        <v/>
      </c>
      <c r="I51" s="19" t="str">
        <f aca="false">IF(A51="","",IF(D51="No","Not required",IF(H51="","Not trained",IF(H51&lt;Dashboard!$C$5,"Expired",IF(H51-Dashboard!$C$5&lt;=Lists!$O$4,"Expiring","Current")))))</f>
        <v/>
      </c>
      <c r="J51" s="27"/>
      <c r="K51" s="10"/>
    </row>
    <row r="52" customFormat="false" ht="15" hidden="false" customHeight="false" outlineLevel="0" collapsed="false">
      <c r="A52" s="10"/>
      <c r="B52" s="10"/>
      <c r="C52" s="10"/>
      <c r="D52" s="27"/>
      <c r="E52" s="10"/>
      <c r="F52" s="11"/>
      <c r="G52" s="12"/>
      <c r="H52" s="33" t="str">
        <f aca="false">IF(OR(F52="",G52=""),"",EDATE(F52,G52))</f>
        <v/>
      </c>
      <c r="I52" s="19" t="str">
        <f aca="false">IF(A52="","",IF(D52="No","Not required",IF(H52="","Not trained",IF(H52&lt;Dashboard!$C$5,"Expired",IF(H52-Dashboard!$C$5&lt;=Lists!$O$4,"Expiring","Current")))))</f>
        <v/>
      </c>
      <c r="J52" s="27"/>
      <c r="K52" s="10"/>
    </row>
    <row r="53" customFormat="false" ht="15" hidden="false" customHeight="false" outlineLevel="0" collapsed="false">
      <c r="A53" s="10"/>
      <c r="B53" s="10"/>
      <c r="C53" s="10"/>
      <c r="D53" s="27"/>
      <c r="E53" s="10"/>
      <c r="F53" s="11"/>
      <c r="G53" s="12"/>
      <c r="H53" s="33" t="str">
        <f aca="false">IF(OR(F53="",G53=""),"",EDATE(F53,G53))</f>
        <v/>
      </c>
      <c r="I53" s="19" t="str">
        <f aca="false">IF(A53="","",IF(D53="No","Not required",IF(H53="","Not trained",IF(H53&lt;Dashboard!$C$5,"Expired",IF(H53-Dashboard!$C$5&lt;=Lists!$O$4,"Expiring","Current")))))</f>
        <v/>
      </c>
      <c r="J53" s="27"/>
      <c r="K53" s="10"/>
    </row>
    <row r="54" customFormat="false" ht="15" hidden="false" customHeight="false" outlineLevel="0" collapsed="false">
      <c r="A54" s="10"/>
      <c r="B54" s="10"/>
      <c r="C54" s="10"/>
      <c r="D54" s="27"/>
      <c r="E54" s="10"/>
      <c r="F54" s="11"/>
      <c r="G54" s="12"/>
      <c r="H54" s="33" t="str">
        <f aca="false">IF(OR(F54="",G54=""),"",EDATE(F54,G54))</f>
        <v/>
      </c>
      <c r="I54" s="19" t="str">
        <f aca="false">IF(A54="","",IF(D54="No","Not required",IF(H54="","Not trained",IF(H54&lt;Dashboard!$C$5,"Expired",IF(H54-Dashboard!$C$5&lt;=Lists!$O$4,"Expiring","Current")))))</f>
        <v/>
      </c>
      <c r="J54" s="27"/>
      <c r="K54" s="10"/>
    </row>
    <row r="55" customFormat="false" ht="15" hidden="false" customHeight="false" outlineLevel="0" collapsed="false">
      <c r="A55" s="10"/>
      <c r="B55" s="10"/>
      <c r="C55" s="10"/>
      <c r="D55" s="27"/>
      <c r="E55" s="10"/>
      <c r="F55" s="11"/>
      <c r="G55" s="12"/>
      <c r="H55" s="33" t="str">
        <f aca="false">IF(OR(F55="",G55=""),"",EDATE(F55,G55))</f>
        <v/>
      </c>
      <c r="I55" s="19" t="str">
        <f aca="false">IF(A55="","",IF(D55="No","Not required",IF(H55="","Not trained",IF(H55&lt;Dashboard!$C$5,"Expired",IF(H55-Dashboard!$C$5&lt;=Lists!$O$4,"Expiring","Current")))))</f>
        <v/>
      </c>
      <c r="J55" s="27"/>
      <c r="K55" s="10"/>
    </row>
    <row r="56" customFormat="false" ht="15" hidden="false" customHeight="false" outlineLevel="0" collapsed="false">
      <c r="A56" s="10"/>
      <c r="B56" s="10"/>
      <c r="C56" s="10"/>
      <c r="D56" s="27"/>
      <c r="E56" s="10"/>
      <c r="F56" s="11"/>
      <c r="G56" s="12"/>
      <c r="H56" s="33" t="str">
        <f aca="false">IF(OR(F56="",G56=""),"",EDATE(F56,G56))</f>
        <v/>
      </c>
      <c r="I56" s="19" t="str">
        <f aca="false">IF(A56="","",IF(D56="No","Not required",IF(H56="","Not trained",IF(H56&lt;Dashboard!$C$5,"Expired",IF(H56-Dashboard!$C$5&lt;=Lists!$O$4,"Expiring","Current")))))</f>
        <v/>
      </c>
      <c r="J56" s="27"/>
      <c r="K56" s="10"/>
    </row>
    <row r="57" customFormat="false" ht="15" hidden="false" customHeight="false" outlineLevel="0" collapsed="false">
      <c r="A57" s="10"/>
      <c r="B57" s="10"/>
      <c r="C57" s="10"/>
      <c r="D57" s="27"/>
      <c r="E57" s="10"/>
      <c r="F57" s="11"/>
      <c r="G57" s="12"/>
      <c r="H57" s="33" t="str">
        <f aca="false">IF(OR(F57="",G57=""),"",EDATE(F57,G57))</f>
        <v/>
      </c>
      <c r="I57" s="19" t="str">
        <f aca="false">IF(A57="","",IF(D57="No","Not required",IF(H57="","Not trained",IF(H57&lt;Dashboard!$C$5,"Expired",IF(H57-Dashboard!$C$5&lt;=Lists!$O$4,"Expiring","Current")))))</f>
        <v/>
      </c>
      <c r="J57" s="27"/>
      <c r="K57" s="10"/>
    </row>
    <row r="58" customFormat="false" ht="15" hidden="false" customHeight="false" outlineLevel="0" collapsed="false">
      <c r="A58" s="10"/>
      <c r="B58" s="10"/>
      <c r="C58" s="10"/>
      <c r="D58" s="27"/>
      <c r="E58" s="10"/>
      <c r="F58" s="11"/>
      <c r="G58" s="12"/>
      <c r="H58" s="33" t="str">
        <f aca="false">IF(OR(F58="",G58=""),"",EDATE(F58,G58))</f>
        <v/>
      </c>
      <c r="I58" s="19" t="str">
        <f aca="false">IF(A58="","",IF(D58="No","Not required",IF(H58="","Not trained",IF(H58&lt;Dashboard!$C$5,"Expired",IF(H58-Dashboard!$C$5&lt;=Lists!$O$4,"Expiring","Current")))))</f>
        <v/>
      </c>
      <c r="J58" s="27"/>
      <c r="K58" s="10"/>
    </row>
    <row r="59" customFormat="false" ht="15" hidden="false" customHeight="false" outlineLevel="0" collapsed="false">
      <c r="A59" s="10"/>
      <c r="B59" s="10"/>
      <c r="C59" s="10"/>
      <c r="D59" s="27"/>
      <c r="E59" s="10"/>
      <c r="F59" s="11"/>
      <c r="G59" s="12"/>
      <c r="H59" s="33" t="str">
        <f aca="false">IF(OR(F59="",G59=""),"",EDATE(F59,G59))</f>
        <v/>
      </c>
      <c r="I59" s="19" t="str">
        <f aca="false">IF(A59="","",IF(D59="No","Not required",IF(H59="","Not trained",IF(H59&lt;Dashboard!$C$5,"Expired",IF(H59-Dashboard!$C$5&lt;=Lists!$O$4,"Expiring","Current")))))</f>
        <v/>
      </c>
      <c r="J59" s="27"/>
      <c r="K59" s="10"/>
    </row>
    <row r="60" customFormat="false" ht="15" hidden="false" customHeight="false" outlineLevel="0" collapsed="false">
      <c r="A60" s="10"/>
      <c r="B60" s="10"/>
      <c r="C60" s="10"/>
      <c r="D60" s="27"/>
      <c r="E60" s="10"/>
      <c r="F60" s="11"/>
      <c r="G60" s="12"/>
      <c r="H60" s="33" t="str">
        <f aca="false">IF(OR(F60="",G60=""),"",EDATE(F60,G60))</f>
        <v/>
      </c>
      <c r="I60" s="19" t="str">
        <f aca="false">IF(A60="","",IF(D60="No","Not required",IF(H60="","Not trained",IF(H60&lt;Dashboard!$C$5,"Expired",IF(H60-Dashboard!$C$5&lt;=Lists!$O$4,"Expiring","Current")))))</f>
        <v/>
      </c>
      <c r="J60" s="27"/>
      <c r="K60" s="10"/>
    </row>
    <row r="61" customFormat="false" ht="15" hidden="false" customHeight="false" outlineLevel="0" collapsed="false">
      <c r="A61" s="10"/>
      <c r="B61" s="10"/>
      <c r="C61" s="10"/>
      <c r="D61" s="27"/>
      <c r="E61" s="10"/>
      <c r="F61" s="11"/>
      <c r="G61" s="12"/>
      <c r="H61" s="33" t="str">
        <f aca="false">IF(OR(F61="",G61=""),"",EDATE(F61,G61))</f>
        <v/>
      </c>
      <c r="I61" s="19" t="str">
        <f aca="false">IF(A61="","",IF(D61="No","Not required",IF(H61="","Not trained",IF(H61&lt;Dashboard!$C$5,"Expired",IF(H61-Dashboard!$C$5&lt;=Lists!$O$4,"Expiring","Current")))))</f>
        <v/>
      </c>
      <c r="J61" s="27"/>
      <c r="K61" s="10"/>
    </row>
    <row r="62" customFormat="false" ht="15" hidden="false" customHeight="false" outlineLevel="0" collapsed="false">
      <c r="A62" s="10"/>
      <c r="B62" s="10"/>
      <c r="C62" s="10"/>
      <c r="D62" s="27"/>
      <c r="E62" s="10"/>
      <c r="F62" s="11"/>
      <c r="G62" s="12"/>
      <c r="H62" s="33" t="str">
        <f aca="false">IF(OR(F62="",G62=""),"",EDATE(F62,G62))</f>
        <v/>
      </c>
      <c r="I62" s="19" t="str">
        <f aca="false">IF(A62="","",IF(D62="No","Not required",IF(H62="","Not trained",IF(H62&lt;Dashboard!$C$5,"Expired",IF(H62-Dashboard!$C$5&lt;=Lists!$O$4,"Expiring","Current")))))</f>
        <v/>
      </c>
      <c r="J62" s="27"/>
      <c r="K62" s="10"/>
    </row>
    <row r="63" customFormat="false" ht="15" hidden="false" customHeight="false" outlineLevel="0" collapsed="false">
      <c r="A63" s="10"/>
      <c r="B63" s="10"/>
      <c r="C63" s="10"/>
      <c r="D63" s="27"/>
      <c r="E63" s="10"/>
      <c r="F63" s="11"/>
      <c r="G63" s="12"/>
      <c r="H63" s="33" t="str">
        <f aca="false">IF(OR(F63="",G63=""),"",EDATE(F63,G63))</f>
        <v/>
      </c>
      <c r="I63" s="19" t="str">
        <f aca="false">IF(A63="","",IF(D63="No","Not required",IF(H63="","Not trained",IF(H63&lt;Dashboard!$C$5,"Expired",IF(H63-Dashboard!$C$5&lt;=Lists!$O$4,"Expiring","Current")))))</f>
        <v/>
      </c>
      <c r="J63" s="27"/>
      <c r="K63" s="10"/>
    </row>
    <row r="64" customFormat="false" ht="15" hidden="false" customHeight="false" outlineLevel="0" collapsed="false">
      <c r="A64" s="10"/>
      <c r="B64" s="10"/>
      <c r="C64" s="10"/>
      <c r="D64" s="27"/>
      <c r="E64" s="10"/>
      <c r="F64" s="11"/>
      <c r="G64" s="12"/>
      <c r="H64" s="33" t="str">
        <f aca="false">IF(OR(F64="",G64=""),"",EDATE(F64,G64))</f>
        <v/>
      </c>
      <c r="I64" s="19" t="str">
        <f aca="false">IF(A64="","",IF(D64="No","Not required",IF(H64="","Not trained",IF(H64&lt;Dashboard!$C$5,"Expired",IF(H64-Dashboard!$C$5&lt;=Lists!$O$4,"Expiring","Current")))))</f>
        <v/>
      </c>
      <c r="J64" s="27"/>
      <c r="K64" s="10"/>
    </row>
    <row r="65" customFormat="false" ht="15" hidden="false" customHeight="false" outlineLevel="0" collapsed="false">
      <c r="A65" s="10"/>
      <c r="B65" s="10"/>
      <c r="C65" s="10"/>
      <c r="D65" s="27"/>
      <c r="E65" s="10"/>
      <c r="F65" s="11"/>
      <c r="G65" s="12"/>
      <c r="H65" s="33" t="str">
        <f aca="false">IF(OR(F65="",G65=""),"",EDATE(F65,G65))</f>
        <v/>
      </c>
      <c r="I65" s="19" t="str">
        <f aca="false">IF(A65="","",IF(D65="No","Not required",IF(H65="","Not trained",IF(H65&lt;Dashboard!$C$5,"Expired",IF(H65-Dashboard!$C$5&lt;=Lists!$O$4,"Expiring","Current")))))</f>
        <v/>
      </c>
      <c r="J65" s="27"/>
      <c r="K65" s="10"/>
    </row>
    <row r="66" customFormat="false" ht="15" hidden="false" customHeight="false" outlineLevel="0" collapsed="false">
      <c r="A66" s="10"/>
      <c r="B66" s="10"/>
      <c r="C66" s="10"/>
      <c r="D66" s="27"/>
      <c r="E66" s="10"/>
      <c r="F66" s="11"/>
      <c r="G66" s="12"/>
      <c r="H66" s="33" t="str">
        <f aca="false">IF(OR(F66="",G66=""),"",EDATE(F66,G66))</f>
        <v/>
      </c>
      <c r="I66" s="19" t="str">
        <f aca="false">IF(A66="","",IF(D66="No","Not required",IF(H66="","Not trained",IF(H66&lt;Dashboard!$C$5,"Expired",IF(H66-Dashboard!$C$5&lt;=Lists!$O$4,"Expiring","Current")))))</f>
        <v/>
      </c>
      <c r="J66" s="27"/>
      <c r="K66" s="10"/>
    </row>
    <row r="67" customFormat="false" ht="15" hidden="false" customHeight="false" outlineLevel="0" collapsed="false">
      <c r="A67" s="10"/>
      <c r="B67" s="10"/>
      <c r="C67" s="10"/>
      <c r="D67" s="27"/>
      <c r="E67" s="10"/>
      <c r="F67" s="11"/>
      <c r="G67" s="12"/>
      <c r="H67" s="33" t="str">
        <f aca="false">IF(OR(F67="",G67=""),"",EDATE(F67,G67))</f>
        <v/>
      </c>
      <c r="I67" s="19" t="str">
        <f aca="false">IF(A67="","",IF(D67="No","Not required",IF(H67="","Not trained",IF(H67&lt;Dashboard!$C$5,"Expired",IF(H67-Dashboard!$C$5&lt;=Lists!$O$4,"Expiring","Current")))))</f>
        <v/>
      </c>
      <c r="J67" s="27"/>
      <c r="K67" s="10"/>
    </row>
    <row r="68" customFormat="false" ht="15" hidden="false" customHeight="false" outlineLevel="0" collapsed="false">
      <c r="A68" s="10"/>
      <c r="B68" s="10"/>
      <c r="C68" s="10"/>
      <c r="D68" s="27"/>
      <c r="E68" s="10"/>
      <c r="F68" s="11"/>
      <c r="G68" s="12"/>
      <c r="H68" s="33" t="str">
        <f aca="false">IF(OR(F68="",G68=""),"",EDATE(F68,G68))</f>
        <v/>
      </c>
      <c r="I68" s="19" t="str">
        <f aca="false">IF(A68="","",IF(D68="No","Not required",IF(H68="","Not trained",IF(H68&lt;Dashboard!$C$5,"Expired",IF(H68-Dashboard!$C$5&lt;=Lists!$O$4,"Expiring","Current")))))</f>
        <v/>
      </c>
      <c r="J68" s="27"/>
      <c r="K68" s="10"/>
    </row>
    <row r="69" customFormat="false" ht="15" hidden="false" customHeight="false" outlineLevel="0" collapsed="false">
      <c r="A69" s="10"/>
      <c r="B69" s="10"/>
      <c r="C69" s="10"/>
      <c r="D69" s="27"/>
      <c r="E69" s="10"/>
      <c r="F69" s="11"/>
      <c r="G69" s="12"/>
      <c r="H69" s="33" t="str">
        <f aca="false">IF(OR(F69="",G69=""),"",EDATE(F69,G69))</f>
        <v/>
      </c>
      <c r="I69" s="19" t="str">
        <f aca="false">IF(A69="","",IF(D69="No","Not required",IF(H69="","Not trained",IF(H69&lt;Dashboard!$C$5,"Expired",IF(H69-Dashboard!$C$5&lt;=Lists!$O$4,"Expiring","Current")))))</f>
        <v/>
      </c>
      <c r="J69" s="27"/>
      <c r="K69" s="10"/>
    </row>
    <row r="70" customFormat="false" ht="15" hidden="false" customHeight="false" outlineLevel="0" collapsed="false">
      <c r="A70" s="10"/>
      <c r="B70" s="10"/>
      <c r="C70" s="10"/>
      <c r="D70" s="27"/>
      <c r="E70" s="10"/>
      <c r="F70" s="11"/>
      <c r="G70" s="12"/>
      <c r="H70" s="33" t="str">
        <f aca="false">IF(OR(F70="",G70=""),"",EDATE(F70,G70))</f>
        <v/>
      </c>
      <c r="I70" s="19" t="str">
        <f aca="false">IF(A70="","",IF(D70="No","Not required",IF(H70="","Not trained",IF(H70&lt;Dashboard!$C$5,"Expired",IF(H70-Dashboard!$C$5&lt;=Lists!$O$4,"Expiring","Current")))))</f>
        <v/>
      </c>
      <c r="J70" s="27"/>
      <c r="K70" s="10"/>
    </row>
    <row r="71" customFormat="false" ht="15" hidden="false" customHeight="false" outlineLevel="0" collapsed="false">
      <c r="A71" s="10"/>
      <c r="B71" s="10"/>
      <c r="C71" s="10"/>
      <c r="D71" s="27"/>
      <c r="E71" s="10"/>
      <c r="F71" s="11"/>
      <c r="G71" s="12"/>
      <c r="H71" s="33" t="str">
        <f aca="false">IF(OR(F71="",G71=""),"",EDATE(F71,G71))</f>
        <v/>
      </c>
      <c r="I71" s="19" t="str">
        <f aca="false">IF(A71="","",IF(D71="No","Not required",IF(H71="","Not trained",IF(H71&lt;Dashboard!$C$5,"Expired",IF(H71-Dashboard!$C$5&lt;=Lists!$O$4,"Expiring","Current")))))</f>
        <v/>
      </c>
      <c r="J71" s="27"/>
      <c r="K71" s="10"/>
    </row>
    <row r="72" customFormat="false" ht="15" hidden="false" customHeight="false" outlineLevel="0" collapsed="false">
      <c r="A72" s="10"/>
      <c r="B72" s="10"/>
      <c r="C72" s="10"/>
      <c r="D72" s="27"/>
      <c r="E72" s="10"/>
      <c r="F72" s="11"/>
      <c r="G72" s="12"/>
      <c r="H72" s="33" t="str">
        <f aca="false">IF(OR(F72="",G72=""),"",EDATE(F72,G72))</f>
        <v/>
      </c>
      <c r="I72" s="19" t="str">
        <f aca="false">IF(A72="","",IF(D72="No","Not required",IF(H72="","Not trained",IF(H72&lt;Dashboard!$C$5,"Expired",IF(H72-Dashboard!$C$5&lt;=Lists!$O$4,"Expiring","Current")))))</f>
        <v/>
      </c>
      <c r="J72" s="27"/>
      <c r="K72" s="10"/>
    </row>
    <row r="73" customFormat="false" ht="15" hidden="false" customHeight="false" outlineLevel="0" collapsed="false">
      <c r="A73" s="10"/>
      <c r="B73" s="10"/>
      <c r="C73" s="10"/>
      <c r="D73" s="27"/>
      <c r="E73" s="10"/>
      <c r="F73" s="11"/>
      <c r="G73" s="12"/>
      <c r="H73" s="33" t="str">
        <f aca="false">IF(OR(F73="",G73=""),"",EDATE(F73,G73))</f>
        <v/>
      </c>
      <c r="I73" s="19" t="str">
        <f aca="false">IF(A73="","",IF(D73="No","Not required",IF(H73="","Not trained",IF(H73&lt;Dashboard!$C$5,"Expired",IF(H73-Dashboard!$C$5&lt;=Lists!$O$4,"Expiring","Current")))))</f>
        <v/>
      </c>
      <c r="J73" s="27"/>
      <c r="K73" s="10"/>
    </row>
    <row r="74" customFormat="false" ht="15" hidden="false" customHeight="false" outlineLevel="0" collapsed="false">
      <c r="A74" s="10"/>
      <c r="B74" s="10"/>
      <c r="C74" s="10"/>
      <c r="D74" s="27"/>
      <c r="E74" s="10"/>
      <c r="F74" s="11"/>
      <c r="G74" s="12"/>
      <c r="H74" s="33" t="str">
        <f aca="false">IF(OR(F74="",G74=""),"",EDATE(F74,G74))</f>
        <v/>
      </c>
      <c r="I74" s="19" t="str">
        <f aca="false">IF(A74="","",IF(D74="No","Not required",IF(H74="","Not trained",IF(H74&lt;Dashboard!$C$5,"Expired",IF(H74-Dashboard!$C$5&lt;=Lists!$O$4,"Expiring","Current")))))</f>
        <v/>
      </c>
      <c r="J74" s="27"/>
      <c r="K74" s="10"/>
    </row>
    <row r="75" customFormat="false" ht="15" hidden="false" customHeight="false" outlineLevel="0" collapsed="false">
      <c r="A75" s="10"/>
      <c r="B75" s="10"/>
      <c r="C75" s="10"/>
      <c r="D75" s="27"/>
      <c r="E75" s="10"/>
      <c r="F75" s="11"/>
      <c r="G75" s="12"/>
      <c r="H75" s="33" t="str">
        <f aca="false">IF(OR(F75="",G75=""),"",EDATE(F75,G75))</f>
        <v/>
      </c>
      <c r="I75" s="19" t="str">
        <f aca="false">IF(A75="","",IF(D75="No","Not required",IF(H75="","Not trained",IF(H75&lt;Dashboard!$C$5,"Expired",IF(H75-Dashboard!$C$5&lt;=Lists!$O$4,"Expiring","Current")))))</f>
        <v/>
      </c>
      <c r="J75" s="27"/>
      <c r="K75" s="10"/>
    </row>
    <row r="76" customFormat="false" ht="15" hidden="false" customHeight="false" outlineLevel="0" collapsed="false">
      <c r="A76" s="10"/>
      <c r="B76" s="10"/>
      <c r="C76" s="10"/>
      <c r="D76" s="27"/>
      <c r="E76" s="10"/>
      <c r="F76" s="11"/>
      <c r="G76" s="12"/>
      <c r="H76" s="33" t="str">
        <f aca="false">IF(OR(F76="",G76=""),"",EDATE(F76,G76))</f>
        <v/>
      </c>
      <c r="I76" s="19" t="str">
        <f aca="false">IF(A76="","",IF(D76="No","Not required",IF(H76="","Not trained",IF(H76&lt;Dashboard!$C$5,"Expired",IF(H76-Dashboard!$C$5&lt;=Lists!$O$4,"Expiring","Current")))))</f>
        <v/>
      </c>
      <c r="J76" s="27"/>
      <c r="K76" s="10"/>
    </row>
    <row r="77" customFormat="false" ht="15" hidden="false" customHeight="false" outlineLevel="0" collapsed="false">
      <c r="A77" s="10"/>
      <c r="B77" s="10"/>
      <c r="C77" s="10"/>
      <c r="D77" s="27"/>
      <c r="E77" s="10"/>
      <c r="F77" s="11"/>
      <c r="G77" s="12"/>
      <c r="H77" s="33" t="str">
        <f aca="false">IF(OR(F77="",G77=""),"",EDATE(F77,G77))</f>
        <v/>
      </c>
      <c r="I77" s="19" t="str">
        <f aca="false">IF(A77="","",IF(D77="No","Not required",IF(H77="","Not trained",IF(H77&lt;Dashboard!$C$5,"Expired",IF(H77-Dashboard!$C$5&lt;=Lists!$O$4,"Expiring","Current")))))</f>
        <v/>
      </c>
      <c r="J77" s="27"/>
      <c r="K77" s="10"/>
    </row>
    <row r="78" customFormat="false" ht="15" hidden="false" customHeight="false" outlineLevel="0" collapsed="false">
      <c r="A78" s="10"/>
      <c r="B78" s="10"/>
      <c r="C78" s="10"/>
      <c r="D78" s="27"/>
      <c r="E78" s="10"/>
      <c r="F78" s="11"/>
      <c r="G78" s="12"/>
      <c r="H78" s="33" t="str">
        <f aca="false">IF(OR(F78="",G78=""),"",EDATE(F78,G78))</f>
        <v/>
      </c>
      <c r="I78" s="19" t="str">
        <f aca="false">IF(A78="","",IF(D78="No","Not required",IF(H78="","Not trained",IF(H78&lt;Dashboard!$C$5,"Expired",IF(H78-Dashboard!$C$5&lt;=Lists!$O$4,"Expiring","Current")))))</f>
        <v/>
      </c>
      <c r="J78" s="27"/>
      <c r="K78" s="10"/>
    </row>
    <row r="79" customFormat="false" ht="15" hidden="false" customHeight="false" outlineLevel="0" collapsed="false">
      <c r="A79" s="10"/>
      <c r="B79" s="10"/>
      <c r="C79" s="10"/>
      <c r="D79" s="27"/>
      <c r="E79" s="10"/>
      <c r="F79" s="11"/>
      <c r="G79" s="12"/>
      <c r="H79" s="33" t="str">
        <f aca="false">IF(OR(F79="",G79=""),"",EDATE(F79,G79))</f>
        <v/>
      </c>
      <c r="I79" s="19" t="str">
        <f aca="false">IF(A79="","",IF(D79="No","Not required",IF(H79="","Not trained",IF(H79&lt;Dashboard!$C$5,"Expired",IF(H79-Dashboard!$C$5&lt;=Lists!$O$4,"Expiring","Current")))))</f>
        <v/>
      </c>
      <c r="J79" s="27"/>
      <c r="K79" s="10"/>
    </row>
    <row r="80" customFormat="false" ht="15" hidden="false" customHeight="false" outlineLevel="0" collapsed="false">
      <c r="A80" s="10"/>
      <c r="B80" s="10"/>
      <c r="C80" s="10"/>
      <c r="D80" s="27"/>
      <c r="E80" s="10"/>
      <c r="F80" s="11"/>
      <c r="G80" s="12"/>
      <c r="H80" s="33" t="str">
        <f aca="false">IF(OR(F80="",G80=""),"",EDATE(F80,G80))</f>
        <v/>
      </c>
      <c r="I80" s="19" t="str">
        <f aca="false">IF(A80="","",IF(D80="No","Not required",IF(H80="","Not trained",IF(H80&lt;Dashboard!$C$5,"Expired",IF(H80-Dashboard!$C$5&lt;=Lists!$O$4,"Expiring","Current")))))</f>
        <v/>
      </c>
      <c r="J80" s="27"/>
      <c r="K80" s="10"/>
    </row>
    <row r="81" customFormat="false" ht="15" hidden="false" customHeight="false" outlineLevel="0" collapsed="false">
      <c r="A81" s="10"/>
      <c r="B81" s="10"/>
      <c r="C81" s="10"/>
      <c r="D81" s="27"/>
      <c r="E81" s="10"/>
      <c r="F81" s="11"/>
      <c r="G81" s="12"/>
      <c r="H81" s="33" t="str">
        <f aca="false">IF(OR(F81="",G81=""),"",EDATE(F81,G81))</f>
        <v/>
      </c>
      <c r="I81" s="19" t="str">
        <f aca="false">IF(A81="","",IF(D81="No","Not required",IF(H81="","Not trained",IF(H81&lt;Dashboard!$C$5,"Expired",IF(H81-Dashboard!$C$5&lt;=Lists!$O$4,"Expiring","Current")))))</f>
        <v/>
      </c>
      <c r="J81" s="27"/>
      <c r="K81" s="10"/>
    </row>
    <row r="82" customFormat="false" ht="15" hidden="false" customHeight="false" outlineLevel="0" collapsed="false">
      <c r="A82" s="10"/>
      <c r="B82" s="10"/>
      <c r="C82" s="10"/>
      <c r="D82" s="27"/>
      <c r="E82" s="10"/>
      <c r="F82" s="11"/>
      <c r="G82" s="12"/>
      <c r="H82" s="33" t="str">
        <f aca="false">IF(OR(F82="",G82=""),"",EDATE(F82,G82))</f>
        <v/>
      </c>
      <c r="I82" s="19" t="str">
        <f aca="false">IF(A82="","",IF(D82="No","Not required",IF(H82="","Not trained",IF(H82&lt;Dashboard!$C$5,"Expired",IF(H82-Dashboard!$C$5&lt;=Lists!$O$4,"Expiring","Current")))))</f>
        <v/>
      </c>
      <c r="J82" s="27"/>
      <c r="K82" s="10"/>
    </row>
    <row r="83" customFormat="false" ht="15" hidden="false" customHeight="false" outlineLevel="0" collapsed="false">
      <c r="A83" s="10"/>
      <c r="B83" s="10"/>
      <c r="C83" s="10"/>
      <c r="D83" s="27"/>
      <c r="E83" s="10"/>
      <c r="F83" s="11"/>
      <c r="G83" s="12"/>
      <c r="H83" s="33" t="str">
        <f aca="false">IF(OR(F83="",G83=""),"",EDATE(F83,G83))</f>
        <v/>
      </c>
      <c r="I83" s="19" t="str">
        <f aca="false">IF(A83="","",IF(D83="No","Not required",IF(H83="","Not trained",IF(H83&lt;Dashboard!$C$5,"Expired",IF(H83-Dashboard!$C$5&lt;=Lists!$O$4,"Expiring","Current")))))</f>
        <v/>
      </c>
      <c r="J83" s="27"/>
      <c r="K83" s="10"/>
    </row>
    <row r="84" customFormat="false" ht="15" hidden="false" customHeight="false" outlineLevel="0" collapsed="false">
      <c r="A84" s="10"/>
      <c r="B84" s="10"/>
      <c r="C84" s="10"/>
      <c r="D84" s="27"/>
      <c r="E84" s="10"/>
      <c r="F84" s="11"/>
      <c r="G84" s="12"/>
      <c r="H84" s="33" t="str">
        <f aca="false">IF(OR(F84="",G84=""),"",EDATE(F84,G84))</f>
        <v/>
      </c>
      <c r="I84" s="19" t="str">
        <f aca="false">IF(A84="","",IF(D84="No","Not required",IF(H84="","Not trained",IF(H84&lt;Dashboard!$C$5,"Expired",IF(H84-Dashboard!$C$5&lt;=Lists!$O$4,"Expiring","Current")))))</f>
        <v/>
      </c>
      <c r="J84" s="27"/>
      <c r="K84" s="10"/>
    </row>
    <row r="85" customFormat="false" ht="15" hidden="false" customHeight="false" outlineLevel="0" collapsed="false">
      <c r="A85" s="10"/>
      <c r="B85" s="10"/>
      <c r="C85" s="10"/>
      <c r="D85" s="27"/>
      <c r="E85" s="10"/>
      <c r="F85" s="11"/>
      <c r="G85" s="12"/>
      <c r="H85" s="33" t="str">
        <f aca="false">IF(OR(F85="",G85=""),"",EDATE(F85,G85))</f>
        <v/>
      </c>
      <c r="I85" s="19" t="str">
        <f aca="false">IF(A85="","",IF(D85="No","Not required",IF(H85="","Not trained",IF(H85&lt;Dashboard!$C$5,"Expired",IF(H85-Dashboard!$C$5&lt;=Lists!$O$4,"Expiring","Current")))))</f>
        <v/>
      </c>
      <c r="J85" s="27"/>
      <c r="K85" s="10"/>
    </row>
    <row r="86" customFormat="false" ht="15" hidden="false" customHeight="false" outlineLevel="0" collapsed="false">
      <c r="A86" s="10"/>
      <c r="B86" s="10"/>
      <c r="C86" s="10"/>
      <c r="D86" s="27"/>
      <c r="E86" s="10"/>
      <c r="F86" s="11"/>
      <c r="G86" s="12"/>
      <c r="H86" s="33" t="str">
        <f aca="false">IF(OR(F86="",G86=""),"",EDATE(F86,G86))</f>
        <v/>
      </c>
      <c r="I86" s="19" t="str">
        <f aca="false">IF(A86="","",IF(D86="No","Not required",IF(H86="","Not trained",IF(H86&lt;Dashboard!$C$5,"Expired",IF(H86-Dashboard!$C$5&lt;=Lists!$O$4,"Expiring","Current")))))</f>
        <v/>
      </c>
      <c r="J86" s="27"/>
      <c r="K86" s="10"/>
    </row>
    <row r="87" customFormat="false" ht="15" hidden="false" customHeight="false" outlineLevel="0" collapsed="false">
      <c r="A87" s="10"/>
      <c r="B87" s="10"/>
      <c r="C87" s="10"/>
      <c r="D87" s="27"/>
      <c r="E87" s="10"/>
      <c r="F87" s="11"/>
      <c r="G87" s="12"/>
      <c r="H87" s="33" t="str">
        <f aca="false">IF(OR(F87="",G87=""),"",EDATE(F87,G87))</f>
        <v/>
      </c>
      <c r="I87" s="19" t="str">
        <f aca="false">IF(A87="","",IF(D87="No","Not required",IF(H87="","Not trained",IF(H87&lt;Dashboard!$C$5,"Expired",IF(H87-Dashboard!$C$5&lt;=Lists!$O$4,"Expiring","Current")))))</f>
        <v/>
      </c>
      <c r="J87" s="27"/>
      <c r="K87" s="10"/>
    </row>
    <row r="88" customFormat="false" ht="15" hidden="false" customHeight="false" outlineLevel="0" collapsed="false">
      <c r="A88" s="10"/>
      <c r="B88" s="10"/>
      <c r="C88" s="10"/>
      <c r="D88" s="27"/>
      <c r="E88" s="10"/>
      <c r="F88" s="11"/>
      <c r="G88" s="12"/>
      <c r="H88" s="33" t="str">
        <f aca="false">IF(OR(F88="",G88=""),"",EDATE(F88,G88))</f>
        <v/>
      </c>
      <c r="I88" s="19" t="str">
        <f aca="false">IF(A88="","",IF(D88="No","Not required",IF(H88="","Not trained",IF(H88&lt;Dashboard!$C$5,"Expired",IF(H88-Dashboard!$C$5&lt;=Lists!$O$4,"Expiring","Current")))))</f>
        <v/>
      </c>
      <c r="J88" s="27"/>
      <c r="K88" s="10"/>
    </row>
    <row r="89" customFormat="false" ht="15" hidden="false" customHeight="false" outlineLevel="0" collapsed="false">
      <c r="A89" s="10"/>
      <c r="B89" s="10"/>
      <c r="C89" s="10"/>
      <c r="D89" s="27"/>
      <c r="E89" s="10"/>
      <c r="F89" s="11"/>
      <c r="G89" s="12"/>
      <c r="H89" s="33" t="str">
        <f aca="false">IF(OR(F89="",G89=""),"",EDATE(F89,G89))</f>
        <v/>
      </c>
      <c r="I89" s="19" t="str">
        <f aca="false">IF(A89="","",IF(D89="No","Not required",IF(H89="","Not trained",IF(H89&lt;Dashboard!$C$5,"Expired",IF(H89-Dashboard!$C$5&lt;=Lists!$O$4,"Expiring","Current")))))</f>
        <v/>
      </c>
      <c r="J89" s="27"/>
      <c r="K89" s="10"/>
    </row>
    <row r="90" customFormat="false" ht="15" hidden="false" customHeight="false" outlineLevel="0" collapsed="false">
      <c r="A90" s="10"/>
      <c r="B90" s="10"/>
      <c r="C90" s="10"/>
      <c r="D90" s="27"/>
      <c r="E90" s="10"/>
      <c r="F90" s="11"/>
      <c r="G90" s="12"/>
      <c r="H90" s="33" t="str">
        <f aca="false">IF(OR(F90="",G90=""),"",EDATE(F90,G90))</f>
        <v/>
      </c>
      <c r="I90" s="19" t="str">
        <f aca="false">IF(A90="","",IF(D90="No","Not required",IF(H90="","Not trained",IF(H90&lt;Dashboard!$C$5,"Expired",IF(H90-Dashboard!$C$5&lt;=Lists!$O$4,"Expiring","Current")))))</f>
        <v/>
      </c>
      <c r="J90" s="27"/>
      <c r="K90" s="10"/>
    </row>
    <row r="91" customFormat="false" ht="15" hidden="false" customHeight="false" outlineLevel="0" collapsed="false">
      <c r="A91" s="10"/>
      <c r="B91" s="10"/>
      <c r="C91" s="10"/>
      <c r="D91" s="27"/>
      <c r="E91" s="10"/>
      <c r="F91" s="11"/>
      <c r="G91" s="12"/>
      <c r="H91" s="33" t="str">
        <f aca="false">IF(OR(F91="",G91=""),"",EDATE(F91,G91))</f>
        <v/>
      </c>
      <c r="I91" s="19" t="str">
        <f aca="false">IF(A91="","",IF(D91="No","Not required",IF(H91="","Not trained",IF(H91&lt;Dashboard!$C$5,"Expired",IF(H91-Dashboard!$C$5&lt;=Lists!$O$4,"Expiring","Current")))))</f>
        <v/>
      </c>
      <c r="J91" s="27"/>
      <c r="K91" s="10"/>
    </row>
    <row r="92" customFormat="false" ht="15" hidden="false" customHeight="false" outlineLevel="0" collapsed="false">
      <c r="A92" s="10"/>
      <c r="B92" s="10"/>
      <c r="C92" s="10"/>
      <c r="D92" s="27"/>
      <c r="E92" s="10"/>
      <c r="F92" s="11"/>
      <c r="G92" s="12"/>
      <c r="H92" s="33" t="str">
        <f aca="false">IF(OR(F92="",G92=""),"",EDATE(F92,G92))</f>
        <v/>
      </c>
      <c r="I92" s="19" t="str">
        <f aca="false">IF(A92="","",IF(D92="No","Not required",IF(H92="","Not trained",IF(H92&lt;Dashboard!$C$5,"Expired",IF(H92-Dashboard!$C$5&lt;=Lists!$O$4,"Expiring","Current")))))</f>
        <v/>
      </c>
      <c r="J92" s="27"/>
      <c r="K92" s="10"/>
    </row>
    <row r="93" customFormat="false" ht="15" hidden="false" customHeight="false" outlineLevel="0" collapsed="false">
      <c r="A93" s="10"/>
      <c r="B93" s="10"/>
      <c r="C93" s="10"/>
      <c r="D93" s="27"/>
      <c r="E93" s="10"/>
      <c r="F93" s="11"/>
      <c r="G93" s="12"/>
      <c r="H93" s="33" t="str">
        <f aca="false">IF(OR(F93="",G93=""),"",EDATE(F93,G93))</f>
        <v/>
      </c>
      <c r="I93" s="19" t="str">
        <f aca="false">IF(A93="","",IF(D93="No","Not required",IF(H93="","Not trained",IF(H93&lt;Dashboard!$C$5,"Expired",IF(H93-Dashboard!$C$5&lt;=Lists!$O$4,"Expiring","Current")))))</f>
        <v/>
      </c>
      <c r="J93" s="27"/>
      <c r="K93" s="10"/>
    </row>
    <row r="94" customFormat="false" ht="15" hidden="false" customHeight="false" outlineLevel="0" collapsed="false">
      <c r="A94" s="10"/>
      <c r="B94" s="10"/>
      <c r="C94" s="10"/>
      <c r="D94" s="27"/>
      <c r="E94" s="10"/>
      <c r="F94" s="11"/>
      <c r="G94" s="12"/>
      <c r="H94" s="33" t="str">
        <f aca="false">IF(OR(F94="",G94=""),"",EDATE(F94,G94))</f>
        <v/>
      </c>
      <c r="I94" s="19" t="str">
        <f aca="false">IF(A94="","",IF(D94="No","Not required",IF(H94="","Not trained",IF(H94&lt;Dashboard!$C$5,"Expired",IF(H94-Dashboard!$C$5&lt;=Lists!$O$4,"Expiring","Current")))))</f>
        <v/>
      </c>
      <c r="J94" s="27"/>
      <c r="K94" s="10"/>
    </row>
    <row r="95" customFormat="false" ht="15" hidden="false" customHeight="false" outlineLevel="0" collapsed="false">
      <c r="A95" s="10"/>
      <c r="B95" s="10"/>
      <c r="C95" s="10"/>
      <c r="D95" s="27"/>
      <c r="E95" s="10"/>
      <c r="F95" s="11"/>
      <c r="G95" s="12"/>
      <c r="H95" s="33" t="str">
        <f aca="false">IF(OR(F95="",G95=""),"",EDATE(F95,G95))</f>
        <v/>
      </c>
      <c r="I95" s="19" t="str">
        <f aca="false">IF(A95="","",IF(D95="No","Not required",IF(H95="","Not trained",IF(H95&lt;Dashboard!$C$5,"Expired",IF(H95-Dashboard!$C$5&lt;=Lists!$O$4,"Expiring","Current")))))</f>
        <v/>
      </c>
      <c r="J95" s="27"/>
      <c r="K95" s="10"/>
    </row>
    <row r="96" customFormat="false" ht="15" hidden="false" customHeight="false" outlineLevel="0" collapsed="false">
      <c r="A96" s="10"/>
      <c r="B96" s="10"/>
      <c r="C96" s="10"/>
      <c r="D96" s="27"/>
      <c r="E96" s="10"/>
      <c r="F96" s="11"/>
      <c r="G96" s="12"/>
      <c r="H96" s="33" t="str">
        <f aca="false">IF(OR(F96="",G96=""),"",EDATE(F96,G96))</f>
        <v/>
      </c>
      <c r="I96" s="19" t="str">
        <f aca="false">IF(A96="","",IF(D96="No","Not required",IF(H96="","Not trained",IF(H96&lt;Dashboard!$C$5,"Expired",IF(H96-Dashboard!$C$5&lt;=Lists!$O$4,"Expiring","Current")))))</f>
        <v/>
      </c>
      <c r="J96" s="27"/>
      <c r="K96" s="10"/>
    </row>
    <row r="97" customFormat="false" ht="15" hidden="false" customHeight="false" outlineLevel="0" collapsed="false">
      <c r="A97" s="10"/>
      <c r="B97" s="10"/>
      <c r="C97" s="10"/>
      <c r="D97" s="27"/>
      <c r="E97" s="10"/>
      <c r="F97" s="11"/>
      <c r="G97" s="12"/>
      <c r="H97" s="33" t="str">
        <f aca="false">IF(OR(F97="",G97=""),"",EDATE(F97,G97))</f>
        <v/>
      </c>
      <c r="I97" s="19" t="str">
        <f aca="false">IF(A97="","",IF(D97="No","Not required",IF(H97="","Not trained",IF(H97&lt;Dashboard!$C$5,"Expired",IF(H97-Dashboard!$C$5&lt;=Lists!$O$4,"Expiring","Current")))))</f>
        <v/>
      </c>
      <c r="J97" s="27"/>
      <c r="K97" s="10"/>
    </row>
    <row r="98" customFormat="false" ht="15" hidden="false" customHeight="false" outlineLevel="0" collapsed="false">
      <c r="A98" s="10"/>
      <c r="B98" s="10"/>
      <c r="C98" s="10"/>
      <c r="D98" s="27"/>
      <c r="E98" s="10"/>
      <c r="F98" s="11"/>
      <c r="G98" s="12"/>
      <c r="H98" s="33" t="str">
        <f aca="false">IF(OR(F98="",G98=""),"",EDATE(F98,G98))</f>
        <v/>
      </c>
      <c r="I98" s="19" t="str">
        <f aca="false">IF(A98="","",IF(D98="No","Not required",IF(H98="","Not trained",IF(H98&lt;Dashboard!$C$5,"Expired",IF(H98-Dashboard!$C$5&lt;=Lists!$O$4,"Expiring","Current")))))</f>
        <v/>
      </c>
      <c r="J98" s="27"/>
      <c r="K98" s="10"/>
    </row>
    <row r="99" customFormat="false" ht="15" hidden="false" customHeight="false" outlineLevel="0" collapsed="false">
      <c r="A99" s="10"/>
      <c r="B99" s="10"/>
      <c r="C99" s="10"/>
      <c r="D99" s="27"/>
      <c r="E99" s="10"/>
      <c r="F99" s="11"/>
      <c r="G99" s="12"/>
      <c r="H99" s="33" t="str">
        <f aca="false">IF(OR(F99="",G99=""),"",EDATE(F99,G99))</f>
        <v/>
      </c>
      <c r="I99" s="19" t="str">
        <f aca="false">IF(A99="","",IF(D99="No","Not required",IF(H99="","Not trained",IF(H99&lt;Dashboard!$C$5,"Expired",IF(H99-Dashboard!$C$5&lt;=Lists!$O$4,"Expiring","Current")))))</f>
        <v/>
      </c>
      <c r="J99" s="27"/>
      <c r="K99" s="10"/>
    </row>
    <row r="100" customFormat="false" ht="15" hidden="false" customHeight="false" outlineLevel="0" collapsed="false">
      <c r="A100" s="10"/>
      <c r="B100" s="10"/>
      <c r="C100" s="10"/>
      <c r="D100" s="27"/>
      <c r="E100" s="10"/>
      <c r="F100" s="11"/>
      <c r="G100" s="12"/>
      <c r="H100" s="33" t="str">
        <f aca="false">IF(OR(F100="",G100=""),"",EDATE(F100,G100))</f>
        <v/>
      </c>
      <c r="I100" s="19" t="str">
        <f aca="false">IF(A100="","",IF(D100="No","Not required",IF(H100="","Not trained",IF(H100&lt;Dashboard!$C$5,"Expired",IF(H100-Dashboard!$C$5&lt;=Lists!$O$4,"Expiring","Current")))))</f>
        <v/>
      </c>
      <c r="J100" s="27"/>
      <c r="K100" s="10"/>
    </row>
    <row r="101" customFormat="false" ht="15" hidden="false" customHeight="false" outlineLevel="0" collapsed="false">
      <c r="A101" s="10"/>
      <c r="B101" s="10"/>
      <c r="C101" s="10"/>
      <c r="D101" s="27"/>
      <c r="E101" s="10"/>
      <c r="F101" s="11"/>
      <c r="G101" s="12"/>
      <c r="H101" s="33" t="str">
        <f aca="false">IF(OR(F101="",G101=""),"",EDATE(F101,G101))</f>
        <v/>
      </c>
      <c r="I101" s="19" t="str">
        <f aca="false">IF(A101="","",IF(D101="No","Not required",IF(H101="","Not trained",IF(H101&lt;Dashboard!$C$5,"Expired",IF(H101-Dashboard!$C$5&lt;=Lists!$O$4,"Expiring","Current")))))</f>
        <v/>
      </c>
      <c r="J101" s="27"/>
      <c r="K101" s="10"/>
    </row>
    <row r="102" customFormat="false" ht="15" hidden="false" customHeight="false" outlineLevel="0" collapsed="false">
      <c r="A102" s="10"/>
      <c r="B102" s="10"/>
      <c r="C102" s="10"/>
      <c r="D102" s="27"/>
      <c r="E102" s="10"/>
      <c r="F102" s="11"/>
      <c r="G102" s="12"/>
      <c r="H102" s="33" t="str">
        <f aca="false">IF(OR(F102="",G102=""),"",EDATE(F102,G102))</f>
        <v/>
      </c>
      <c r="I102" s="19" t="str">
        <f aca="false">IF(A102="","",IF(D102="No","Not required",IF(H102="","Not trained",IF(H102&lt;Dashboard!$C$5,"Expired",IF(H102-Dashboard!$C$5&lt;=Lists!$O$4,"Expiring","Current")))))</f>
        <v/>
      </c>
      <c r="J102" s="27"/>
      <c r="K102" s="10"/>
    </row>
    <row r="103" customFormat="false" ht="15" hidden="false" customHeight="false" outlineLevel="0" collapsed="false">
      <c r="A103" s="10"/>
      <c r="B103" s="10"/>
      <c r="C103" s="10"/>
      <c r="D103" s="27"/>
      <c r="E103" s="10"/>
      <c r="F103" s="11"/>
      <c r="G103" s="12"/>
      <c r="H103" s="33" t="str">
        <f aca="false">IF(OR(F103="",G103=""),"",EDATE(F103,G103))</f>
        <v/>
      </c>
      <c r="I103" s="19" t="str">
        <f aca="false">IF(A103="","",IF(D103="No","Not required",IF(H103="","Not trained",IF(H103&lt;Dashboard!$C$5,"Expired",IF(H103-Dashboard!$C$5&lt;=Lists!$O$4,"Expiring","Current")))))</f>
        <v/>
      </c>
      <c r="J103" s="27"/>
      <c r="K103" s="10"/>
    </row>
    <row r="104" customFormat="false" ht="15" hidden="false" customHeight="false" outlineLevel="0" collapsed="false">
      <c r="A104" s="10"/>
      <c r="B104" s="10"/>
      <c r="C104" s="10"/>
      <c r="D104" s="27"/>
      <c r="E104" s="10"/>
      <c r="F104" s="11"/>
      <c r="G104" s="12"/>
      <c r="H104" s="33" t="str">
        <f aca="false">IF(OR(F104="",G104=""),"",EDATE(F104,G104))</f>
        <v/>
      </c>
      <c r="I104" s="19" t="str">
        <f aca="false">IF(A104="","",IF(D104="No","Not required",IF(H104="","Not trained",IF(H104&lt;Dashboard!$C$5,"Expired",IF(H104-Dashboard!$C$5&lt;=Lists!$O$4,"Expiring","Current")))))</f>
        <v/>
      </c>
      <c r="J104" s="27"/>
      <c r="K104" s="10"/>
    </row>
    <row r="105" customFormat="false" ht="15" hidden="false" customHeight="false" outlineLevel="0" collapsed="false">
      <c r="A105" s="10"/>
      <c r="B105" s="10"/>
      <c r="C105" s="10"/>
      <c r="D105" s="27"/>
      <c r="E105" s="10"/>
      <c r="F105" s="11"/>
      <c r="G105" s="12"/>
      <c r="H105" s="33" t="str">
        <f aca="false">IF(OR(F105="",G105=""),"",EDATE(F105,G105))</f>
        <v/>
      </c>
      <c r="I105" s="19" t="str">
        <f aca="false">IF(A105="","",IF(D105="No","Not required",IF(H105="","Not trained",IF(H105&lt;Dashboard!$C$5,"Expired",IF(H105-Dashboard!$C$5&lt;=Lists!$O$4,"Expiring","Current")))))</f>
        <v/>
      </c>
      <c r="J105" s="27"/>
      <c r="K105" s="10"/>
    </row>
    <row r="106" customFormat="false" ht="15" hidden="false" customHeight="false" outlineLevel="0" collapsed="false">
      <c r="A106" s="10"/>
      <c r="B106" s="10"/>
      <c r="C106" s="10"/>
      <c r="D106" s="27"/>
      <c r="E106" s="10"/>
      <c r="F106" s="11"/>
      <c r="G106" s="12"/>
      <c r="H106" s="33" t="str">
        <f aca="false">IF(OR(F106="",G106=""),"",EDATE(F106,G106))</f>
        <v/>
      </c>
      <c r="I106" s="19" t="str">
        <f aca="false">IF(A106="","",IF(D106="No","Not required",IF(H106="","Not trained",IF(H106&lt;Dashboard!$C$5,"Expired",IF(H106-Dashboard!$C$5&lt;=Lists!$O$4,"Expiring","Current")))))</f>
        <v/>
      </c>
      <c r="J106" s="27"/>
      <c r="K106" s="10"/>
    </row>
    <row r="107" customFormat="false" ht="15" hidden="false" customHeight="false" outlineLevel="0" collapsed="false">
      <c r="A107" s="10"/>
      <c r="B107" s="10"/>
      <c r="C107" s="10"/>
      <c r="D107" s="27"/>
      <c r="E107" s="10"/>
      <c r="F107" s="11"/>
      <c r="G107" s="12"/>
      <c r="H107" s="33" t="str">
        <f aca="false">IF(OR(F107="",G107=""),"",EDATE(F107,G107))</f>
        <v/>
      </c>
      <c r="I107" s="19" t="str">
        <f aca="false">IF(A107="","",IF(D107="No","Not required",IF(H107="","Not trained",IF(H107&lt;Dashboard!$C$5,"Expired",IF(H107-Dashboard!$C$5&lt;=Lists!$O$4,"Expiring","Current")))))</f>
        <v/>
      </c>
      <c r="J107" s="27"/>
      <c r="K107" s="10"/>
    </row>
    <row r="108" customFormat="false" ht="15" hidden="false" customHeight="false" outlineLevel="0" collapsed="false">
      <c r="A108" s="10"/>
      <c r="B108" s="10"/>
      <c r="C108" s="10"/>
      <c r="D108" s="27"/>
      <c r="E108" s="10"/>
      <c r="F108" s="11"/>
      <c r="G108" s="12"/>
      <c r="H108" s="33" t="str">
        <f aca="false">IF(OR(F108="",G108=""),"",EDATE(F108,G108))</f>
        <v/>
      </c>
      <c r="I108" s="19" t="str">
        <f aca="false">IF(A108="","",IF(D108="No","Not required",IF(H108="","Not trained",IF(H108&lt;Dashboard!$C$5,"Expired",IF(H108-Dashboard!$C$5&lt;=Lists!$O$4,"Expiring","Current")))))</f>
        <v/>
      </c>
      <c r="J108" s="27"/>
      <c r="K108" s="10"/>
    </row>
    <row r="109" customFormat="false" ht="15" hidden="false" customHeight="false" outlineLevel="0" collapsed="false">
      <c r="A109" s="10"/>
      <c r="B109" s="10"/>
      <c r="C109" s="10"/>
      <c r="D109" s="27"/>
      <c r="E109" s="10"/>
      <c r="F109" s="11"/>
      <c r="G109" s="12"/>
      <c r="H109" s="33" t="str">
        <f aca="false">IF(OR(F109="",G109=""),"",EDATE(F109,G109))</f>
        <v/>
      </c>
      <c r="I109" s="19" t="str">
        <f aca="false">IF(A109="","",IF(D109="No","Not required",IF(H109="","Not trained",IF(H109&lt;Dashboard!$C$5,"Expired",IF(H109-Dashboard!$C$5&lt;=Lists!$O$4,"Expiring","Current")))))</f>
        <v/>
      </c>
      <c r="J109" s="27"/>
      <c r="K109" s="10"/>
    </row>
    <row r="110" customFormat="false" ht="15" hidden="false" customHeight="false" outlineLevel="0" collapsed="false">
      <c r="A110" s="10"/>
      <c r="B110" s="10"/>
      <c r="C110" s="10"/>
      <c r="D110" s="27"/>
      <c r="E110" s="10"/>
      <c r="F110" s="11"/>
      <c r="G110" s="12"/>
      <c r="H110" s="33" t="str">
        <f aca="false">IF(OR(F110="",G110=""),"",EDATE(F110,G110))</f>
        <v/>
      </c>
      <c r="I110" s="19" t="str">
        <f aca="false">IF(A110="","",IF(D110="No","Not required",IF(H110="","Not trained",IF(H110&lt;Dashboard!$C$5,"Expired",IF(H110-Dashboard!$C$5&lt;=Lists!$O$4,"Expiring","Current")))))</f>
        <v/>
      </c>
      <c r="J110" s="27"/>
      <c r="K110" s="10"/>
    </row>
    <row r="111" customFormat="false" ht="15" hidden="false" customHeight="false" outlineLevel="0" collapsed="false">
      <c r="A111" s="10"/>
      <c r="B111" s="10"/>
      <c r="C111" s="10"/>
      <c r="D111" s="27"/>
      <c r="E111" s="10"/>
      <c r="F111" s="11"/>
      <c r="G111" s="12"/>
      <c r="H111" s="33" t="str">
        <f aca="false">IF(OR(F111="",G111=""),"",EDATE(F111,G111))</f>
        <v/>
      </c>
      <c r="I111" s="19" t="str">
        <f aca="false">IF(A111="","",IF(D111="No","Not required",IF(H111="","Not trained",IF(H111&lt;Dashboard!$C$5,"Expired",IF(H111-Dashboard!$C$5&lt;=Lists!$O$4,"Expiring","Current")))))</f>
        <v/>
      </c>
      <c r="J111" s="27"/>
      <c r="K111" s="10"/>
    </row>
    <row r="112" customFormat="false" ht="15" hidden="false" customHeight="false" outlineLevel="0" collapsed="false">
      <c r="A112" s="10"/>
      <c r="B112" s="10"/>
      <c r="C112" s="10"/>
      <c r="D112" s="27"/>
      <c r="E112" s="10"/>
      <c r="F112" s="11"/>
      <c r="G112" s="12"/>
      <c r="H112" s="33" t="str">
        <f aca="false">IF(OR(F112="",G112=""),"",EDATE(F112,G112))</f>
        <v/>
      </c>
      <c r="I112" s="19" t="str">
        <f aca="false">IF(A112="","",IF(D112="No","Not required",IF(H112="","Not trained",IF(H112&lt;Dashboard!$C$5,"Expired",IF(H112-Dashboard!$C$5&lt;=Lists!$O$4,"Expiring","Current")))))</f>
        <v/>
      </c>
      <c r="J112" s="27"/>
      <c r="K112" s="10"/>
    </row>
    <row r="113" customFormat="false" ht="15" hidden="false" customHeight="false" outlineLevel="0" collapsed="false">
      <c r="A113" s="10"/>
      <c r="B113" s="10"/>
      <c r="C113" s="10"/>
      <c r="D113" s="27"/>
      <c r="E113" s="10"/>
      <c r="F113" s="11"/>
      <c r="G113" s="12"/>
      <c r="H113" s="33" t="str">
        <f aca="false">IF(OR(F113="",G113=""),"",EDATE(F113,G113))</f>
        <v/>
      </c>
      <c r="I113" s="19" t="str">
        <f aca="false">IF(A113="","",IF(D113="No","Not required",IF(H113="","Not trained",IF(H113&lt;Dashboard!$C$5,"Expired",IF(H113-Dashboard!$C$5&lt;=Lists!$O$4,"Expiring","Current")))))</f>
        <v/>
      </c>
      <c r="J113" s="27"/>
      <c r="K113" s="10"/>
    </row>
    <row r="114" customFormat="false" ht="15" hidden="false" customHeight="false" outlineLevel="0" collapsed="false">
      <c r="A114" s="10"/>
      <c r="B114" s="10"/>
      <c r="C114" s="10"/>
      <c r="D114" s="27"/>
      <c r="E114" s="10"/>
      <c r="F114" s="11"/>
      <c r="G114" s="12"/>
      <c r="H114" s="33" t="str">
        <f aca="false">IF(OR(F114="",G114=""),"",EDATE(F114,G114))</f>
        <v/>
      </c>
      <c r="I114" s="19" t="str">
        <f aca="false">IF(A114="","",IF(D114="No","Not required",IF(H114="","Not trained",IF(H114&lt;Dashboard!$C$5,"Expired",IF(H114-Dashboard!$C$5&lt;=Lists!$O$4,"Expiring","Current")))))</f>
        <v/>
      </c>
      <c r="J114" s="27"/>
      <c r="K114" s="10"/>
    </row>
    <row r="115" customFormat="false" ht="15" hidden="false" customHeight="false" outlineLevel="0" collapsed="false">
      <c r="A115" s="10"/>
      <c r="B115" s="10"/>
      <c r="C115" s="10"/>
      <c r="D115" s="27"/>
      <c r="E115" s="10"/>
      <c r="F115" s="11"/>
      <c r="G115" s="12"/>
      <c r="H115" s="33" t="str">
        <f aca="false">IF(OR(F115="",G115=""),"",EDATE(F115,G115))</f>
        <v/>
      </c>
      <c r="I115" s="19" t="str">
        <f aca="false">IF(A115="","",IF(D115="No","Not required",IF(H115="","Not trained",IF(H115&lt;Dashboard!$C$5,"Expired",IF(H115-Dashboard!$C$5&lt;=Lists!$O$4,"Expiring","Current")))))</f>
        <v/>
      </c>
      <c r="J115" s="27"/>
      <c r="K115" s="10"/>
    </row>
    <row r="116" customFormat="false" ht="15" hidden="false" customHeight="false" outlineLevel="0" collapsed="false">
      <c r="A116" s="10"/>
      <c r="B116" s="10"/>
      <c r="C116" s="10"/>
      <c r="D116" s="27"/>
      <c r="E116" s="10"/>
      <c r="F116" s="11"/>
      <c r="G116" s="12"/>
      <c r="H116" s="33" t="str">
        <f aca="false">IF(OR(F116="",G116=""),"",EDATE(F116,G116))</f>
        <v/>
      </c>
      <c r="I116" s="19" t="str">
        <f aca="false">IF(A116="","",IF(D116="No","Not required",IF(H116="","Not trained",IF(H116&lt;Dashboard!$C$5,"Expired",IF(H116-Dashboard!$C$5&lt;=Lists!$O$4,"Expiring","Current")))))</f>
        <v/>
      </c>
      <c r="J116" s="27"/>
      <c r="K116" s="10"/>
    </row>
    <row r="117" customFormat="false" ht="15" hidden="false" customHeight="false" outlineLevel="0" collapsed="false">
      <c r="A117" s="10"/>
      <c r="B117" s="10"/>
      <c r="C117" s="10"/>
      <c r="D117" s="27"/>
      <c r="E117" s="10"/>
      <c r="F117" s="11"/>
      <c r="G117" s="12"/>
      <c r="H117" s="33" t="str">
        <f aca="false">IF(OR(F117="",G117=""),"",EDATE(F117,G117))</f>
        <v/>
      </c>
      <c r="I117" s="19" t="str">
        <f aca="false">IF(A117="","",IF(D117="No","Not required",IF(H117="","Not trained",IF(H117&lt;Dashboard!$C$5,"Expired",IF(H117-Dashboard!$C$5&lt;=Lists!$O$4,"Expiring","Current")))))</f>
        <v/>
      </c>
      <c r="J117" s="27"/>
      <c r="K117" s="10"/>
    </row>
    <row r="118" customFormat="false" ht="15" hidden="false" customHeight="false" outlineLevel="0" collapsed="false">
      <c r="A118" s="10"/>
      <c r="B118" s="10"/>
      <c r="C118" s="10"/>
      <c r="D118" s="27"/>
      <c r="E118" s="10"/>
      <c r="F118" s="11"/>
      <c r="G118" s="12"/>
      <c r="H118" s="33" t="str">
        <f aca="false">IF(OR(F118="",G118=""),"",EDATE(F118,G118))</f>
        <v/>
      </c>
      <c r="I118" s="19" t="str">
        <f aca="false">IF(A118="","",IF(D118="No","Not required",IF(H118="","Not trained",IF(H118&lt;Dashboard!$C$5,"Expired",IF(H118-Dashboard!$C$5&lt;=Lists!$O$4,"Expiring","Current")))))</f>
        <v/>
      </c>
      <c r="J118" s="27"/>
      <c r="K118" s="10"/>
    </row>
    <row r="119" customFormat="false" ht="15" hidden="false" customHeight="false" outlineLevel="0" collapsed="false">
      <c r="A119" s="10"/>
      <c r="B119" s="10"/>
      <c r="C119" s="10"/>
      <c r="D119" s="27"/>
      <c r="E119" s="10"/>
      <c r="F119" s="11"/>
      <c r="G119" s="12"/>
      <c r="H119" s="33" t="str">
        <f aca="false">IF(OR(F119="",G119=""),"",EDATE(F119,G119))</f>
        <v/>
      </c>
      <c r="I119" s="19" t="str">
        <f aca="false">IF(A119="","",IF(D119="No","Not required",IF(H119="","Not trained",IF(H119&lt;Dashboard!$C$5,"Expired",IF(H119-Dashboard!$C$5&lt;=Lists!$O$4,"Expiring","Current")))))</f>
        <v/>
      </c>
      <c r="J119" s="27"/>
      <c r="K119" s="10"/>
    </row>
    <row r="120" customFormat="false" ht="15" hidden="false" customHeight="false" outlineLevel="0" collapsed="false">
      <c r="A120" s="10"/>
      <c r="B120" s="10"/>
      <c r="C120" s="10"/>
      <c r="D120" s="27"/>
      <c r="E120" s="10"/>
      <c r="F120" s="11"/>
      <c r="G120" s="12"/>
      <c r="H120" s="33" t="str">
        <f aca="false">IF(OR(F120="",G120=""),"",EDATE(F120,G120))</f>
        <v/>
      </c>
      <c r="I120" s="19" t="str">
        <f aca="false">IF(A120="","",IF(D120="No","Not required",IF(H120="","Not trained",IF(H120&lt;Dashboard!$C$5,"Expired",IF(H120-Dashboard!$C$5&lt;=Lists!$O$4,"Expiring","Current")))))</f>
        <v/>
      </c>
      <c r="J120" s="27"/>
      <c r="K120" s="10"/>
    </row>
    <row r="121" customFormat="false" ht="15" hidden="false" customHeight="false" outlineLevel="0" collapsed="false">
      <c r="A121" s="10"/>
      <c r="B121" s="10"/>
      <c r="C121" s="10"/>
      <c r="D121" s="27"/>
      <c r="E121" s="10"/>
      <c r="F121" s="11"/>
      <c r="G121" s="12"/>
      <c r="H121" s="33" t="str">
        <f aca="false">IF(OR(F121="",G121=""),"",EDATE(F121,G121))</f>
        <v/>
      </c>
      <c r="I121" s="19" t="str">
        <f aca="false">IF(A121="","",IF(D121="No","Not required",IF(H121="","Not trained",IF(H121&lt;Dashboard!$C$5,"Expired",IF(H121-Dashboard!$C$5&lt;=Lists!$O$4,"Expiring","Current")))))</f>
        <v/>
      </c>
      <c r="J121" s="27"/>
      <c r="K121" s="10"/>
    </row>
    <row r="122" customFormat="false" ht="15" hidden="false" customHeight="false" outlineLevel="0" collapsed="false">
      <c r="A122" s="10"/>
      <c r="B122" s="10"/>
      <c r="C122" s="10"/>
      <c r="D122" s="27"/>
      <c r="E122" s="10"/>
      <c r="F122" s="11"/>
      <c r="G122" s="12"/>
      <c r="H122" s="33" t="str">
        <f aca="false">IF(OR(F122="",G122=""),"",EDATE(F122,G122))</f>
        <v/>
      </c>
      <c r="I122" s="19" t="str">
        <f aca="false">IF(A122="","",IF(D122="No","Not required",IF(H122="","Not trained",IF(H122&lt;Dashboard!$C$5,"Expired",IF(H122-Dashboard!$C$5&lt;=Lists!$O$4,"Expiring","Current")))))</f>
        <v/>
      </c>
      <c r="J122" s="27"/>
      <c r="K122" s="10"/>
    </row>
    <row r="123" customFormat="false" ht="15" hidden="false" customHeight="false" outlineLevel="0" collapsed="false">
      <c r="A123" s="10"/>
      <c r="B123" s="10"/>
      <c r="C123" s="10"/>
      <c r="D123" s="27"/>
      <c r="E123" s="10"/>
      <c r="F123" s="11"/>
      <c r="G123" s="12"/>
      <c r="H123" s="33" t="str">
        <f aca="false">IF(OR(F123="",G123=""),"",EDATE(F123,G123))</f>
        <v/>
      </c>
      <c r="I123" s="19" t="str">
        <f aca="false">IF(A123="","",IF(D123="No","Not required",IF(H123="","Not trained",IF(H123&lt;Dashboard!$C$5,"Expired",IF(H123-Dashboard!$C$5&lt;=Lists!$O$4,"Expiring","Current")))))</f>
        <v/>
      </c>
      <c r="J123" s="27"/>
      <c r="K123" s="10"/>
    </row>
    <row r="124" customFormat="false" ht="15" hidden="false" customHeight="false" outlineLevel="0" collapsed="false">
      <c r="A124" s="10"/>
      <c r="B124" s="10"/>
      <c r="C124" s="10"/>
      <c r="D124" s="27"/>
      <c r="E124" s="10"/>
      <c r="F124" s="11"/>
      <c r="G124" s="12"/>
      <c r="H124" s="33" t="str">
        <f aca="false">IF(OR(F124="",G124=""),"",EDATE(F124,G124))</f>
        <v/>
      </c>
      <c r="I124" s="19" t="str">
        <f aca="false">IF(A124="","",IF(D124="No","Not required",IF(H124="","Not trained",IF(H124&lt;Dashboard!$C$5,"Expired",IF(H124-Dashboard!$C$5&lt;=Lists!$O$4,"Expiring","Current")))))</f>
        <v/>
      </c>
      <c r="J124" s="27"/>
      <c r="K124" s="10"/>
    </row>
    <row r="125" customFormat="false" ht="15" hidden="false" customHeight="false" outlineLevel="0" collapsed="false">
      <c r="A125" s="10"/>
      <c r="B125" s="10"/>
      <c r="C125" s="10"/>
      <c r="D125" s="27"/>
      <c r="E125" s="10"/>
      <c r="F125" s="11"/>
      <c r="G125" s="12"/>
      <c r="H125" s="33" t="str">
        <f aca="false">IF(OR(F125="",G125=""),"",EDATE(F125,G125))</f>
        <v/>
      </c>
      <c r="I125" s="19" t="str">
        <f aca="false">IF(A125="","",IF(D125="No","Not required",IF(H125="","Not trained",IF(H125&lt;Dashboard!$C$5,"Expired",IF(H125-Dashboard!$C$5&lt;=Lists!$O$4,"Expiring","Current")))))</f>
        <v/>
      </c>
      <c r="J125" s="27"/>
      <c r="K125" s="10"/>
    </row>
    <row r="126" customFormat="false" ht="15" hidden="false" customHeight="false" outlineLevel="0" collapsed="false">
      <c r="A126" s="10"/>
      <c r="B126" s="10"/>
      <c r="C126" s="10"/>
      <c r="D126" s="27"/>
      <c r="E126" s="10"/>
      <c r="F126" s="11"/>
      <c r="G126" s="12"/>
      <c r="H126" s="33" t="str">
        <f aca="false">IF(OR(F126="",G126=""),"",EDATE(F126,G126))</f>
        <v/>
      </c>
      <c r="I126" s="19" t="str">
        <f aca="false">IF(A126="","",IF(D126="No","Not required",IF(H126="","Not trained",IF(H126&lt;Dashboard!$C$5,"Expired",IF(H126-Dashboard!$C$5&lt;=Lists!$O$4,"Expiring","Current")))))</f>
        <v/>
      </c>
      <c r="J126" s="27"/>
      <c r="K126" s="10"/>
    </row>
    <row r="127" customFormat="false" ht="15" hidden="false" customHeight="false" outlineLevel="0" collapsed="false">
      <c r="A127" s="10"/>
      <c r="B127" s="10"/>
      <c r="C127" s="10"/>
      <c r="D127" s="27"/>
      <c r="E127" s="10"/>
      <c r="F127" s="11"/>
      <c r="G127" s="12"/>
      <c r="H127" s="33" t="str">
        <f aca="false">IF(OR(F127="",G127=""),"",EDATE(F127,G127))</f>
        <v/>
      </c>
      <c r="I127" s="19" t="str">
        <f aca="false">IF(A127="","",IF(D127="No","Not required",IF(H127="","Not trained",IF(H127&lt;Dashboard!$C$5,"Expired",IF(H127-Dashboard!$C$5&lt;=Lists!$O$4,"Expiring","Current")))))</f>
        <v/>
      </c>
      <c r="J127" s="27"/>
      <c r="K127" s="10"/>
    </row>
    <row r="128" customFormat="false" ht="15" hidden="false" customHeight="false" outlineLevel="0" collapsed="false">
      <c r="A128" s="10"/>
      <c r="B128" s="10"/>
      <c r="C128" s="10"/>
      <c r="D128" s="27"/>
      <c r="E128" s="10"/>
      <c r="F128" s="11"/>
      <c r="G128" s="12"/>
      <c r="H128" s="33" t="str">
        <f aca="false">IF(OR(F128="",G128=""),"",EDATE(F128,G128))</f>
        <v/>
      </c>
      <c r="I128" s="19" t="str">
        <f aca="false">IF(A128="","",IF(D128="No","Not required",IF(H128="","Not trained",IF(H128&lt;Dashboard!$C$5,"Expired",IF(H128-Dashboard!$C$5&lt;=Lists!$O$4,"Expiring","Current")))))</f>
        <v/>
      </c>
      <c r="J128" s="27"/>
      <c r="K128" s="10"/>
    </row>
    <row r="129" customFormat="false" ht="15" hidden="false" customHeight="false" outlineLevel="0" collapsed="false">
      <c r="A129" s="10"/>
      <c r="B129" s="10"/>
      <c r="C129" s="10"/>
      <c r="D129" s="27"/>
      <c r="E129" s="10"/>
      <c r="F129" s="11"/>
      <c r="G129" s="12"/>
      <c r="H129" s="33" t="str">
        <f aca="false">IF(OR(F129="",G129=""),"",EDATE(F129,G129))</f>
        <v/>
      </c>
      <c r="I129" s="19" t="str">
        <f aca="false">IF(A129="","",IF(D129="No","Not required",IF(H129="","Not trained",IF(H129&lt;Dashboard!$C$5,"Expired",IF(H129-Dashboard!$C$5&lt;=Lists!$O$4,"Expiring","Current")))))</f>
        <v/>
      </c>
      <c r="J129" s="27"/>
      <c r="K129" s="10"/>
    </row>
    <row r="130" customFormat="false" ht="15" hidden="false" customHeight="false" outlineLevel="0" collapsed="false">
      <c r="A130" s="10"/>
      <c r="B130" s="10"/>
      <c r="C130" s="10"/>
      <c r="D130" s="27"/>
      <c r="E130" s="10"/>
      <c r="F130" s="11"/>
      <c r="G130" s="12"/>
      <c r="H130" s="33" t="str">
        <f aca="false">IF(OR(F130="",G130=""),"",EDATE(F130,G130))</f>
        <v/>
      </c>
      <c r="I130" s="19" t="str">
        <f aca="false">IF(A130="","",IF(D130="No","Not required",IF(H130="","Not trained",IF(H130&lt;Dashboard!$C$5,"Expired",IF(H130-Dashboard!$C$5&lt;=Lists!$O$4,"Expiring","Current")))))</f>
        <v/>
      </c>
      <c r="J130" s="27"/>
      <c r="K130" s="10"/>
    </row>
    <row r="131" customFormat="false" ht="15" hidden="false" customHeight="false" outlineLevel="0" collapsed="false">
      <c r="A131" s="10"/>
      <c r="B131" s="10"/>
      <c r="C131" s="10"/>
      <c r="D131" s="27"/>
      <c r="E131" s="10"/>
      <c r="F131" s="11"/>
      <c r="G131" s="12"/>
      <c r="H131" s="33" t="str">
        <f aca="false">IF(OR(F131="",G131=""),"",EDATE(F131,G131))</f>
        <v/>
      </c>
      <c r="I131" s="19" t="str">
        <f aca="false">IF(A131="","",IF(D131="No","Not required",IF(H131="","Not trained",IF(H131&lt;Dashboard!$C$5,"Expired",IF(H131-Dashboard!$C$5&lt;=Lists!$O$4,"Expiring","Current")))))</f>
        <v/>
      </c>
      <c r="J131" s="27"/>
      <c r="K131" s="10"/>
    </row>
    <row r="132" customFormat="false" ht="15" hidden="false" customHeight="false" outlineLevel="0" collapsed="false">
      <c r="A132" s="10"/>
      <c r="B132" s="10"/>
      <c r="C132" s="10"/>
      <c r="D132" s="27"/>
      <c r="E132" s="10"/>
      <c r="F132" s="11"/>
      <c r="G132" s="12"/>
      <c r="H132" s="33" t="str">
        <f aca="false">IF(OR(F132="",G132=""),"",EDATE(F132,G132))</f>
        <v/>
      </c>
      <c r="I132" s="19" t="str">
        <f aca="false">IF(A132="","",IF(D132="No","Not required",IF(H132="","Not trained",IF(H132&lt;Dashboard!$C$5,"Expired",IF(H132-Dashboard!$C$5&lt;=Lists!$O$4,"Expiring","Current")))))</f>
        <v/>
      </c>
      <c r="J132" s="27"/>
      <c r="K132" s="10"/>
    </row>
    <row r="133" customFormat="false" ht="15" hidden="false" customHeight="false" outlineLevel="0" collapsed="false">
      <c r="A133" s="10"/>
      <c r="B133" s="10"/>
      <c r="C133" s="10"/>
      <c r="D133" s="27"/>
      <c r="E133" s="10"/>
      <c r="F133" s="11"/>
      <c r="G133" s="12"/>
      <c r="H133" s="33" t="str">
        <f aca="false">IF(OR(F133="",G133=""),"",EDATE(F133,G133))</f>
        <v/>
      </c>
      <c r="I133" s="19" t="str">
        <f aca="false">IF(A133="","",IF(D133="No","Not required",IF(H133="","Not trained",IF(H133&lt;Dashboard!$C$5,"Expired",IF(H133-Dashboard!$C$5&lt;=Lists!$O$4,"Expiring","Current")))))</f>
        <v/>
      </c>
      <c r="J133" s="27"/>
      <c r="K133" s="10"/>
    </row>
    <row r="134" customFormat="false" ht="15" hidden="false" customHeight="false" outlineLevel="0" collapsed="false">
      <c r="A134" s="10"/>
      <c r="B134" s="10"/>
      <c r="C134" s="10"/>
      <c r="D134" s="27"/>
      <c r="E134" s="10"/>
      <c r="F134" s="11"/>
      <c r="G134" s="12"/>
      <c r="H134" s="33" t="str">
        <f aca="false">IF(OR(F134="",G134=""),"",EDATE(F134,G134))</f>
        <v/>
      </c>
      <c r="I134" s="19" t="str">
        <f aca="false">IF(A134="","",IF(D134="No","Not required",IF(H134="","Not trained",IF(H134&lt;Dashboard!$C$5,"Expired",IF(H134-Dashboard!$C$5&lt;=Lists!$O$4,"Expiring","Current")))))</f>
        <v/>
      </c>
      <c r="J134" s="27"/>
      <c r="K134" s="10"/>
    </row>
    <row r="135" customFormat="false" ht="15" hidden="false" customHeight="false" outlineLevel="0" collapsed="false">
      <c r="A135" s="10"/>
      <c r="B135" s="10"/>
      <c r="C135" s="10"/>
      <c r="D135" s="27"/>
      <c r="E135" s="10"/>
      <c r="F135" s="11"/>
      <c r="G135" s="12"/>
      <c r="H135" s="33" t="str">
        <f aca="false">IF(OR(F135="",G135=""),"",EDATE(F135,G135))</f>
        <v/>
      </c>
      <c r="I135" s="19" t="str">
        <f aca="false">IF(A135="","",IF(D135="No","Not required",IF(H135="","Not trained",IF(H135&lt;Dashboard!$C$5,"Expired",IF(H135-Dashboard!$C$5&lt;=Lists!$O$4,"Expiring","Current")))))</f>
        <v/>
      </c>
      <c r="J135" s="27"/>
      <c r="K135" s="10"/>
    </row>
    <row r="136" customFormat="false" ht="15" hidden="false" customHeight="false" outlineLevel="0" collapsed="false">
      <c r="A136" s="10"/>
      <c r="B136" s="10"/>
      <c r="C136" s="10"/>
      <c r="D136" s="27"/>
      <c r="E136" s="10"/>
      <c r="F136" s="11"/>
      <c r="G136" s="12"/>
      <c r="H136" s="33" t="str">
        <f aca="false">IF(OR(F136="",G136=""),"",EDATE(F136,G136))</f>
        <v/>
      </c>
      <c r="I136" s="19" t="str">
        <f aca="false">IF(A136="","",IF(D136="No","Not required",IF(H136="","Not trained",IF(H136&lt;Dashboard!$C$5,"Expired",IF(H136-Dashboard!$C$5&lt;=Lists!$O$4,"Expiring","Current")))))</f>
        <v/>
      </c>
      <c r="J136" s="27"/>
      <c r="K136" s="10"/>
    </row>
    <row r="137" customFormat="false" ht="15" hidden="false" customHeight="false" outlineLevel="0" collapsed="false">
      <c r="A137" s="10"/>
      <c r="B137" s="10"/>
      <c r="C137" s="10"/>
      <c r="D137" s="27"/>
      <c r="E137" s="10"/>
      <c r="F137" s="11"/>
      <c r="G137" s="12"/>
      <c r="H137" s="33" t="str">
        <f aca="false">IF(OR(F137="",G137=""),"",EDATE(F137,G137))</f>
        <v/>
      </c>
      <c r="I137" s="19" t="str">
        <f aca="false">IF(A137="","",IF(D137="No","Not required",IF(H137="","Not trained",IF(H137&lt;Dashboard!$C$5,"Expired",IF(H137-Dashboard!$C$5&lt;=Lists!$O$4,"Expiring","Current")))))</f>
        <v/>
      </c>
      <c r="J137" s="27"/>
      <c r="K137" s="10"/>
    </row>
    <row r="138" customFormat="false" ht="15" hidden="false" customHeight="false" outlineLevel="0" collapsed="false">
      <c r="A138" s="10"/>
      <c r="B138" s="10"/>
      <c r="C138" s="10"/>
      <c r="D138" s="27"/>
      <c r="E138" s="10"/>
      <c r="F138" s="11"/>
      <c r="G138" s="12"/>
      <c r="H138" s="33" t="str">
        <f aca="false">IF(OR(F138="",G138=""),"",EDATE(F138,G138))</f>
        <v/>
      </c>
      <c r="I138" s="19" t="str">
        <f aca="false">IF(A138="","",IF(D138="No","Not required",IF(H138="","Not trained",IF(H138&lt;Dashboard!$C$5,"Expired",IF(H138-Dashboard!$C$5&lt;=Lists!$O$4,"Expiring","Current")))))</f>
        <v/>
      </c>
      <c r="J138" s="27"/>
      <c r="K138" s="10"/>
    </row>
    <row r="139" customFormat="false" ht="15" hidden="false" customHeight="false" outlineLevel="0" collapsed="false">
      <c r="A139" s="10"/>
      <c r="B139" s="10"/>
      <c r="C139" s="10"/>
      <c r="D139" s="27"/>
      <c r="E139" s="10"/>
      <c r="F139" s="11"/>
      <c r="G139" s="12"/>
      <c r="H139" s="33" t="str">
        <f aca="false">IF(OR(F139="",G139=""),"",EDATE(F139,G139))</f>
        <v/>
      </c>
      <c r="I139" s="19" t="str">
        <f aca="false">IF(A139="","",IF(D139="No","Not required",IF(H139="","Not trained",IF(H139&lt;Dashboard!$C$5,"Expired",IF(H139-Dashboard!$C$5&lt;=Lists!$O$4,"Expiring","Current")))))</f>
        <v/>
      </c>
      <c r="J139" s="27"/>
      <c r="K139" s="10"/>
    </row>
    <row r="140" customFormat="false" ht="15" hidden="false" customHeight="false" outlineLevel="0" collapsed="false">
      <c r="A140" s="10"/>
      <c r="B140" s="10"/>
      <c r="C140" s="10"/>
      <c r="D140" s="27"/>
      <c r="E140" s="10"/>
      <c r="F140" s="11"/>
      <c r="G140" s="12"/>
      <c r="H140" s="33" t="str">
        <f aca="false">IF(OR(F140="",G140=""),"",EDATE(F140,G140))</f>
        <v/>
      </c>
      <c r="I140" s="19" t="str">
        <f aca="false">IF(A140="","",IF(D140="No","Not required",IF(H140="","Not trained",IF(H140&lt;Dashboard!$C$5,"Expired",IF(H140-Dashboard!$C$5&lt;=Lists!$O$4,"Expiring","Current")))))</f>
        <v/>
      </c>
      <c r="J140" s="27"/>
      <c r="K140" s="10"/>
    </row>
    <row r="141" customFormat="false" ht="15" hidden="false" customHeight="false" outlineLevel="0" collapsed="false">
      <c r="A141" s="10"/>
      <c r="B141" s="10"/>
      <c r="C141" s="10"/>
      <c r="D141" s="27"/>
      <c r="E141" s="10"/>
      <c r="F141" s="11"/>
      <c r="G141" s="12"/>
      <c r="H141" s="33" t="str">
        <f aca="false">IF(OR(F141="",G141=""),"",EDATE(F141,G141))</f>
        <v/>
      </c>
      <c r="I141" s="19" t="str">
        <f aca="false">IF(A141="","",IF(D141="No","Not required",IF(H141="","Not trained",IF(H141&lt;Dashboard!$C$5,"Expired",IF(H141-Dashboard!$C$5&lt;=Lists!$O$4,"Expiring","Current")))))</f>
        <v/>
      </c>
      <c r="J141" s="27"/>
      <c r="K141" s="10"/>
    </row>
    <row r="142" customFormat="false" ht="15" hidden="false" customHeight="false" outlineLevel="0" collapsed="false">
      <c r="A142" s="10"/>
      <c r="B142" s="10"/>
      <c r="C142" s="10"/>
      <c r="D142" s="27"/>
      <c r="E142" s="10"/>
      <c r="F142" s="11"/>
      <c r="G142" s="12"/>
      <c r="H142" s="33" t="str">
        <f aca="false">IF(OR(F142="",G142=""),"",EDATE(F142,G142))</f>
        <v/>
      </c>
      <c r="I142" s="19" t="str">
        <f aca="false">IF(A142="","",IF(D142="No","Not required",IF(H142="","Not trained",IF(H142&lt;Dashboard!$C$5,"Expired",IF(H142-Dashboard!$C$5&lt;=Lists!$O$4,"Expiring","Current")))))</f>
        <v/>
      </c>
      <c r="J142" s="27"/>
      <c r="K142" s="10"/>
    </row>
    <row r="143" customFormat="false" ht="15" hidden="false" customHeight="false" outlineLevel="0" collapsed="false">
      <c r="A143" s="10"/>
      <c r="B143" s="10"/>
      <c r="C143" s="10"/>
      <c r="D143" s="27"/>
      <c r="E143" s="10"/>
      <c r="F143" s="11"/>
      <c r="G143" s="12"/>
      <c r="H143" s="33" t="str">
        <f aca="false">IF(OR(F143="",G143=""),"",EDATE(F143,G143))</f>
        <v/>
      </c>
      <c r="I143" s="19" t="str">
        <f aca="false">IF(A143="","",IF(D143="No","Not required",IF(H143="","Not trained",IF(H143&lt;Dashboard!$C$5,"Expired",IF(H143-Dashboard!$C$5&lt;=Lists!$O$4,"Expiring","Current")))))</f>
        <v/>
      </c>
      <c r="J143" s="27"/>
      <c r="K143" s="10"/>
    </row>
    <row r="144" customFormat="false" ht="15" hidden="false" customHeight="false" outlineLevel="0" collapsed="false">
      <c r="A144" s="10"/>
      <c r="B144" s="10"/>
      <c r="C144" s="10"/>
      <c r="D144" s="27"/>
      <c r="E144" s="10"/>
      <c r="F144" s="11"/>
      <c r="G144" s="12"/>
      <c r="H144" s="33" t="str">
        <f aca="false">IF(OR(F144="",G144=""),"",EDATE(F144,G144))</f>
        <v/>
      </c>
      <c r="I144" s="19" t="str">
        <f aca="false">IF(A144="","",IF(D144="No","Not required",IF(H144="","Not trained",IF(H144&lt;Dashboard!$C$5,"Expired",IF(H144-Dashboard!$C$5&lt;=Lists!$O$4,"Expiring","Current")))))</f>
        <v/>
      </c>
      <c r="J144" s="27"/>
      <c r="K144" s="10"/>
    </row>
    <row r="145" customFormat="false" ht="15" hidden="false" customHeight="false" outlineLevel="0" collapsed="false">
      <c r="A145" s="10"/>
      <c r="B145" s="10"/>
      <c r="C145" s="10"/>
      <c r="D145" s="27"/>
      <c r="E145" s="10"/>
      <c r="F145" s="11"/>
      <c r="G145" s="12"/>
      <c r="H145" s="33" t="str">
        <f aca="false">IF(OR(F145="",G145=""),"",EDATE(F145,G145))</f>
        <v/>
      </c>
      <c r="I145" s="19" t="str">
        <f aca="false">IF(A145="","",IF(D145="No","Not required",IF(H145="","Not trained",IF(H145&lt;Dashboard!$C$5,"Expired",IF(H145-Dashboard!$C$5&lt;=Lists!$O$4,"Expiring","Current")))))</f>
        <v/>
      </c>
      <c r="J145" s="27"/>
      <c r="K145" s="10"/>
    </row>
    <row r="146" customFormat="false" ht="15" hidden="false" customHeight="false" outlineLevel="0" collapsed="false">
      <c r="A146" s="10"/>
      <c r="B146" s="10"/>
      <c r="C146" s="10"/>
      <c r="D146" s="27"/>
      <c r="E146" s="10"/>
      <c r="F146" s="11"/>
      <c r="G146" s="12"/>
      <c r="H146" s="33" t="str">
        <f aca="false">IF(OR(F146="",G146=""),"",EDATE(F146,G146))</f>
        <v/>
      </c>
      <c r="I146" s="19" t="str">
        <f aca="false">IF(A146="","",IF(D146="No","Not required",IF(H146="","Not trained",IF(H146&lt;Dashboard!$C$5,"Expired",IF(H146-Dashboard!$C$5&lt;=Lists!$O$4,"Expiring","Current")))))</f>
        <v/>
      </c>
      <c r="J146" s="27"/>
      <c r="K146" s="10"/>
    </row>
    <row r="147" customFormat="false" ht="15" hidden="false" customHeight="false" outlineLevel="0" collapsed="false">
      <c r="A147" s="10"/>
      <c r="B147" s="10"/>
      <c r="C147" s="10"/>
      <c r="D147" s="27"/>
      <c r="E147" s="10"/>
      <c r="F147" s="11"/>
      <c r="G147" s="12"/>
      <c r="H147" s="33" t="str">
        <f aca="false">IF(OR(F147="",G147=""),"",EDATE(F147,G147))</f>
        <v/>
      </c>
      <c r="I147" s="19" t="str">
        <f aca="false">IF(A147="","",IF(D147="No","Not required",IF(H147="","Not trained",IF(H147&lt;Dashboard!$C$5,"Expired",IF(H147-Dashboard!$C$5&lt;=Lists!$O$4,"Expiring","Current")))))</f>
        <v/>
      </c>
      <c r="J147" s="27"/>
      <c r="K147" s="10"/>
    </row>
    <row r="148" customFormat="false" ht="15" hidden="false" customHeight="false" outlineLevel="0" collapsed="false">
      <c r="A148" s="10"/>
      <c r="B148" s="10"/>
      <c r="C148" s="10"/>
      <c r="D148" s="27"/>
      <c r="E148" s="10"/>
      <c r="F148" s="11"/>
      <c r="G148" s="12"/>
      <c r="H148" s="33" t="str">
        <f aca="false">IF(OR(F148="",G148=""),"",EDATE(F148,G148))</f>
        <v/>
      </c>
      <c r="I148" s="19" t="str">
        <f aca="false">IF(A148="","",IF(D148="No","Not required",IF(H148="","Not trained",IF(H148&lt;Dashboard!$C$5,"Expired",IF(H148-Dashboard!$C$5&lt;=Lists!$O$4,"Expiring","Current")))))</f>
        <v/>
      </c>
      <c r="J148" s="27"/>
      <c r="K148" s="10"/>
    </row>
    <row r="149" customFormat="false" ht="15" hidden="false" customHeight="false" outlineLevel="0" collapsed="false">
      <c r="A149" s="10"/>
      <c r="B149" s="10"/>
      <c r="C149" s="10"/>
      <c r="D149" s="27"/>
      <c r="E149" s="10"/>
      <c r="F149" s="11"/>
      <c r="G149" s="12"/>
      <c r="H149" s="33" t="str">
        <f aca="false">IF(OR(F149="",G149=""),"",EDATE(F149,G149))</f>
        <v/>
      </c>
      <c r="I149" s="19" t="str">
        <f aca="false">IF(A149="","",IF(D149="No","Not required",IF(H149="","Not trained",IF(H149&lt;Dashboard!$C$5,"Expired",IF(H149-Dashboard!$C$5&lt;=Lists!$O$4,"Expiring","Current")))))</f>
        <v/>
      </c>
      <c r="J149" s="27"/>
      <c r="K149" s="10"/>
    </row>
    <row r="150" customFormat="false" ht="15" hidden="false" customHeight="false" outlineLevel="0" collapsed="false">
      <c r="A150" s="10"/>
      <c r="B150" s="10"/>
      <c r="C150" s="10"/>
      <c r="D150" s="27"/>
      <c r="E150" s="10"/>
      <c r="F150" s="11"/>
      <c r="G150" s="12"/>
      <c r="H150" s="33" t="str">
        <f aca="false">IF(OR(F150="",G150=""),"",EDATE(F150,G150))</f>
        <v/>
      </c>
      <c r="I150" s="19" t="str">
        <f aca="false">IF(A150="","",IF(D150="No","Not required",IF(H150="","Not trained",IF(H150&lt;Dashboard!$C$5,"Expired",IF(H150-Dashboard!$C$5&lt;=Lists!$O$4,"Expiring","Current")))))</f>
        <v/>
      </c>
      <c r="J150" s="27"/>
      <c r="K150" s="10"/>
    </row>
    <row r="151" customFormat="false" ht="15" hidden="false" customHeight="false" outlineLevel="0" collapsed="false">
      <c r="A151" s="10"/>
      <c r="B151" s="10"/>
      <c r="C151" s="10"/>
      <c r="D151" s="27"/>
      <c r="E151" s="10"/>
      <c r="F151" s="11"/>
      <c r="G151" s="12"/>
      <c r="H151" s="33" t="str">
        <f aca="false">IF(OR(F151="",G151=""),"",EDATE(F151,G151))</f>
        <v/>
      </c>
      <c r="I151" s="19" t="str">
        <f aca="false">IF(A151="","",IF(D151="No","Not required",IF(H151="","Not trained",IF(H151&lt;Dashboard!$C$5,"Expired",IF(H151-Dashboard!$C$5&lt;=Lists!$O$4,"Expiring","Current")))))</f>
        <v/>
      </c>
      <c r="J151" s="27"/>
      <c r="K151" s="10"/>
    </row>
    <row r="152" customFormat="false" ht="15" hidden="false" customHeight="false" outlineLevel="0" collapsed="false">
      <c r="A152" s="10"/>
      <c r="B152" s="10"/>
      <c r="C152" s="10"/>
      <c r="D152" s="27"/>
      <c r="E152" s="10"/>
      <c r="F152" s="11"/>
      <c r="G152" s="12"/>
      <c r="H152" s="33" t="str">
        <f aca="false">IF(OR(F152="",G152=""),"",EDATE(F152,G152))</f>
        <v/>
      </c>
      <c r="I152" s="19" t="str">
        <f aca="false">IF(A152="","",IF(D152="No","Not required",IF(H152="","Not trained",IF(H152&lt;Dashboard!$C$5,"Expired",IF(H152-Dashboard!$C$5&lt;=Lists!$O$4,"Expiring","Current")))))</f>
        <v/>
      </c>
      <c r="J152" s="27"/>
      <c r="K152" s="10"/>
    </row>
    <row r="153" customFormat="false" ht="15" hidden="false" customHeight="false" outlineLevel="0" collapsed="false">
      <c r="A153" s="10"/>
      <c r="B153" s="10"/>
      <c r="C153" s="10"/>
      <c r="D153" s="27"/>
      <c r="E153" s="10"/>
      <c r="F153" s="11"/>
      <c r="G153" s="12"/>
      <c r="H153" s="33" t="str">
        <f aca="false">IF(OR(F153="",G153=""),"",EDATE(F153,G153))</f>
        <v/>
      </c>
      <c r="I153" s="19" t="str">
        <f aca="false">IF(A153="","",IF(D153="No","Not required",IF(H153="","Not trained",IF(H153&lt;Dashboard!$C$5,"Expired",IF(H153-Dashboard!$C$5&lt;=Lists!$O$4,"Expiring","Current")))))</f>
        <v/>
      </c>
      <c r="J153" s="27"/>
      <c r="K153" s="10"/>
    </row>
    <row r="154" customFormat="false" ht="15" hidden="false" customHeight="false" outlineLevel="0" collapsed="false">
      <c r="A154" s="10"/>
      <c r="B154" s="10"/>
      <c r="C154" s="10"/>
      <c r="D154" s="27"/>
      <c r="E154" s="10"/>
      <c r="F154" s="11"/>
      <c r="G154" s="12"/>
      <c r="H154" s="33" t="str">
        <f aca="false">IF(OR(F154="",G154=""),"",EDATE(F154,G154))</f>
        <v/>
      </c>
      <c r="I154" s="19" t="str">
        <f aca="false">IF(A154="","",IF(D154="No","Not required",IF(H154="","Not trained",IF(H154&lt;Dashboard!$C$5,"Expired",IF(H154-Dashboard!$C$5&lt;=Lists!$O$4,"Expiring","Current")))))</f>
        <v/>
      </c>
      <c r="J154" s="27"/>
      <c r="K154" s="10"/>
    </row>
  </sheetData>
  <conditionalFormatting sqref="I5:I154">
    <cfRule type="cellIs" priority="2" operator="equal" aboveAverage="0" equalAverage="0" bottom="0" percent="0" rank="0" text="" dxfId="0">
      <formula>"Current"</formula>
    </cfRule>
    <cfRule type="cellIs" priority="3" operator="equal" aboveAverage="0" equalAverage="0" bottom="0" percent="0" rank="0" text="" dxfId="0">
      <formula>"Not required"</formula>
    </cfRule>
    <cfRule type="cellIs" priority="4" operator="equal" aboveAverage="0" equalAverage="0" bottom="0" percent="0" rank="0" text="" dxfId="1">
      <formula>"Expiring"</formula>
    </cfRule>
    <cfRule type="cellIs" priority="5" operator="equal" aboveAverage="0" equalAverage="0" bottom="0" percent="0" rank="0" text="" dxfId="2">
      <formula>"Expired"</formula>
    </cfRule>
    <cfRule type="cellIs" priority="6" operator="equal" aboveAverage="0" equalAverage="0" bottom="0" percent="0" rank="0" text="" dxfId="2">
      <formula>"Not trained"</formula>
    </cfRule>
  </conditionalFormatting>
  <dataValidations count="4">
    <dataValidation allowBlank="true" error="Please choose a value from the list." errorStyle="stop" errorTitle="Invalid entry" operator="between" showDropDown="false" showErrorMessage="false" showInputMessage="false" sqref="C5:C154" type="list">
      <formula1>Lists!$I$2:$I$10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E5:E154" type="list">
      <formula1>Lists!$J$2:$J$12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154" type="list">
      <formula1>Lists!$A$2:$A$3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J5:J15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10" min="8" style="0" width="13"/>
    <col collapsed="false" customWidth="true" hidden="false" outlineLevel="0" max="11" min="11" style="0" width="36"/>
  </cols>
  <sheetData>
    <row r="1" customFormat="false" ht="19.7" hidden="false" customHeight="false" outlineLevel="0" collapsed="false">
      <c r="A1" s="1" t="s">
        <v>305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3" t="s">
        <v>306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31.5" hidden="false" customHeight="true" outlineLevel="0" collapsed="false">
      <c r="A4" s="13" t="s">
        <v>277</v>
      </c>
      <c r="B4" s="13" t="s">
        <v>307</v>
      </c>
      <c r="C4" s="13" t="s">
        <v>308</v>
      </c>
      <c r="D4" s="13" t="s">
        <v>309</v>
      </c>
      <c r="E4" s="13" t="s">
        <v>310</v>
      </c>
      <c r="F4" s="13" t="s">
        <v>311</v>
      </c>
      <c r="G4" s="13" t="s">
        <v>312</v>
      </c>
      <c r="H4" s="13" t="s">
        <v>313</v>
      </c>
      <c r="I4" s="13" t="s">
        <v>314</v>
      </c>
      <c r="J4" s="13" t="s">
        <v>315</v>
      </c>
      <c r="K4" s="13" t="s">
        <v>316</v>
      </c>
    </row>
    <row r="5" customFormat="false" ht="26.85" hidden="false" customHeight="false" outlineLevel="0" collapsed="false">
      <c r="A5" s="11" t="n">
        <v>46233</v>
      </c>
      <c r="B5" s="10" t="s">
        <v>317</v>
      </c>
      <c r="C5" s="10" t="s">
        <v>145</v>
      </c>
      <c r="D5" s="27" t="s">
        <v>105</v>
      </c>
      <c r="E5" s="11" t="n">
        <v>46233</v>
      </c>
      <c r="F5" s="34" t="n">
        <v>36</v>
      </c>
      <c r="G5" s="34" t="n">
        <v>36</v>
      </c>
      <c r="H5" s="32" t="n">
        <f aca="false">IF(OR(F5="",G5="",F5=0),"",G5/F5)</f>
        <v>1</v>
      </c>
      <c r="I5" s="22" t="n">
        <v>4</v>
      </c>
      <c r="J5" s="19" t="str">
        <f aca="false">IF(A5="","",IF(D5="Yes","Completed",IF(A5&lt;Dashboard!$C$5,"Missed","Scheduled")))</f>
        <v>Completed</v>
      </c>
      <c r="K5" s="10" t="s">
        <v>318</v>
      </c>
    </row>
    <row r="6" customFormat="false" ht="15" hidden="false" customHeight="false" outlineLevel="0" collapsed="false">
      <c r="A6" s="11" t="n">
        <v>46371</v>
      </c>
      <c r="B6" s="10" t="s">
        <v>319</v>
      </c>
      <c r="C6" s="10" t="s">
        <v>145</v>
      </c>
      <c r="D6" s="27"/>
      <c r="E6" s="11"/>
      <c r="F6" s="34"/>
      <c r="G6" s="34"/>
      <c r="H6" s="32" t="str">
        <f aca="false">IF(OR(F6="",G6="",F6=0),"",G6/F6)</f>
        <v/>
      </c>
      <c r="I6" s="22"/>
      <c r="J6" s="19" t="str">
        <f aca="false">IF(A6="","",IF(D6="Yes","Completed",IF(A6&lt;Dashboard!$C$5,"Missed","Scheduled")))</f>
        <v>Scheduled</v>
      </c>
      <c r="K6" s="10"/>
    </row>
    <row r="7" customFormat="false" ht="15" hidden="false" customHeight="false" outlineLevel="0" collapsed="false">
      <c r="A7" s="11"/>
      <c r="B7" s="10"/>
      <c r="C7" s="10"/>
      <c r="D7" s="27"/>
      <c r="E7" s="11"/>
      <c r="F7" s="34"/>
      <c r="G7" s="34"/>
      <c r="H7" s="32" t="str">
        <f aca="false">IF(OR(F7="",G7="",F7=0),"",G7/F7)</f>
        <v/>
      </c>
      <c r="I7" s="22"/>
      <c r="J7" s="19" t="str">
        <f aca="false">IF(A7="","",IF(D7="Yes","Completed",IF(A7&lt;Dashboard!$C$5,"Missed","Scheduled")))</f>
        <v/>
      </c>
      <c r="K7" s="10"/>
    </row>
    <row r="8" customFormat="false" ht="15" hidden="false" customHeight="false" outlineLevel="0" collapsed="false">
      <c r="A8" s="11"/>
      <c r="B8" s="10"/>
      <c r="C8" s="10"/>
      <c r="D8" s="27"/>
      <c r="E8" s="11"/>
      <c r="F8" s="34"/>
      <c r="G8" s="34"/>
      <c r="H8" s="32" t="str">
        <f aca="false">IF(OR(F8="",G8="",F8=0),"",G8/F8)</f>
        <v/>
      </c>
      <c r="I8" s="22"/>
      <c r="J8" s="19" t="str">
        <f aca="false">IF(A8="","",IF(D8="Yes","Completed",IF(A8&lt;Dashboard!$C$5,"Missed","Scheduled")))</f>
        <v/>
      </c>
      <c r="K8" s="10"/>
    </row>
    <row r="9" customFormat="false" ht="15" hidden="false" customHeight="false" outlineLevel="0" collapsed="false">
      <c r="A9" s="11"/>
      <c r="B9" s="10"/>
      <c r="C9" s="10"/>
      <c r="D9" s="27"/>
      <c r="E9" s="11"/>
      <c r="F9" s="34"/>
      <c r="G9" s="34"/>
      <c r="H9" s="32" t="str">
        <f aca="false">IF(OR(F9="",G9="",F9=0),"",G9/F9)</f>
        <v/>
      </c>
      <c r="I9" s="22"/>
      <c r="J9" s="19" t="str">
        <f aca="false">IF(A9="","",IF(D9="Yes","Completed",IF(A9&lt;Dashboard!$C$5,"Missed","Scheduled")))</f>
        <v/>
      </c>
      <c r="K9" s="10"/>
    </row>
    <row r="10" customFormat="false" ht="15" hidden="false" customHeight="false" outlineLevel="0" collapsed="false">
      <c r="A10" s="11"/>
      <c r="B10" s="10"/>
      <c r="C10" s="10"/>
      <c r="D10" s="27"/>
      <c r="E10" s="11"/>
      <c r="F10" s="34"/>
      <c r="G10" s="34"/>
      <c r="H10" s="32" t="str">
        <f aca="false">IF(OR(F10="",G10="",F10=0),"",G10/F10)</f>
        <v/>
      </c>
      <c r="I10" s="22"/>
      <c r="J10" s="19" t="str">
        <f aca="false">IF(A10="","",IF(D10="Yes","Completed",IF(A10&lt;Dashboard!$C$5,"Missed","Scheduled")))</f>
        <v/>
      </c>
      <c r="K10" s="10"/>
    </row>
    <row r="11" customFormat="false" ht="15" hidden="false" customHeight="false" outlineLevel="0" collapsed="false">
      <c r="A11" s="11"/>
      <c r="B11" s="10"/>
      <c r="C11" s="10"/>
      <c r="D11" s="27"/>
      <c r="E11" s="11"/>
      <c r="F11" s="34"/>
      <c r="G11" s="34"/>
      <c r="H11" s="32" t="str">
        <f aca="false">IF(OR(F11="",G11="",F11=0),"",G11/F11)</f>
        <v/>
      </c>
      <c r="I11" s="22"/>
      <c r="J11" s="19" t="str">
        <f aca="false">IF(A11="","",IF(D11="Yes","Completed",IF(A11&lt;Dashboard!$C$5,"Missed","Scheduled")))</f>
        <v/>
      </c>
      <c r="K11" s="10"/>
    </row>
    <row r="12" customFormat="false" ht="15" hidden="false" customHeight="false" outlineLevel="0" collapsed="false">
      <c r="A12" s="11"/>
      <c r="B12" s="10"/>
      <c r="C12" s="10"/>
      <c r="D12" s="27"/>
      <c r="E12" s="11"/>
      <c r="F12" s="34"/>
      <c r="G12" s="34"/>
      <c r="H12" s="32" t="str">
        <f aca="false">IF(OR(F12="",G12="",F12=0),"",G12/F12)</f>
        <v/>
      </c>
      <c r="I12" s="22"/>
      <c r="J12" s="19" t="str">
        <f aca="false">IF(A12="","",IF(D12="Yes","Completed",IF(A12&lt;Dashboard!$C$5,"Missed","Scheduled")))</f>
        <v/>
      </c>
      <c r="K12" s="10"/>
    </row>
    <row r="13" customFormat="false" ht="15" hidden="false" customHeight="false" outlineLevel="0" collapsed="false">
      <c r="A13" s="11"/>
      <c r="B13" s="10"/>
      <c r="C13" s="10"/>
      <c r="D13" s="27"/>
      <c r="E13" s="11"/>
      <c r="F13" s="34"/>
      <c r="G13" s="34"/>
      <c r="H13" s="32" t="str">
        <f aca="false">IF(OR(F13="",G13="",F13=0),"",G13/F13)</f>
        <v/>
      </c>
      <c r="I13" s="22"/>
      <c r="J13" s="19" t="str">
        <f aca="false">IF(A13="","",IF(D13="Yes","Completed",IF(A13&lt;Dashboard!$C$5,"Missed","Scheduled")))</f>
        <v/>
      </c>
      <c r="K13" s="10"/>
    </row>
    <row r="14" customFormat="false" ht="15" hidden="false" customHeight="false" outlineLevel="0" collapsed="false">
      <c r="A14" s="11"/>
      <c r="B14" s="10"/>
      <c r="C14" s="10"/>
      <c r="D14" s="27"/>
      <c r="E14" s="11"/>
      <c r="F14" s="34"/>
      <c r="G14" s="34"/>
      <c r="H14" s="32" t="str">
        <f aca="false">IF(OR(F14="",G14="",F14=0),"",G14/F14)</f>
        <v/>
      </c>
      <c r="I14" s="22"/>
      <c r="J14" s="19" t="str">
        <f aca="false">IF(A14="","",IF(D14="Yes","Completed",IF(A14&lt;Dashboard!$C$5,"Missed","Scheduled")))</f>
        <v/>
      </c>
      <c r="K14" s="10"/>
    </row>
    <row r="15" customFormat="false" ht="15" hidden="false" customHeight="false" outlineLevel="0" collapsed="false">
      <c r="A15" s="11"/>
      <c r="B15" s="10"/>
      <c r="C15" s="10"/>
      <c r="D15" s="27"/>
      <c r="E15" s="11"/>
      <c r="F15" s="34"/>
      <c r="G15" s="34"/>
      <c r="H15" s="32" t="str">
        <f aca="false">IF(OR(F15="",G15="",F15=0),"",G15/F15)</f>
        <v/>
      </c>
      <c r="I15" s="22"/>
      <c r="J15" s="19" t="str">
        <f aca="false">IF(A15="","",IF(D15="Yes","Completed",IF(A15&lt;Dashboard!$C$5,"Missed","Scheduled")))</f>
        <v/>
      </c>
      <c r="K15" s="10"/>
    </row>
    <row r="16" customFormat="false" ht="15" hidden="false" customHeight="false" outlineLevel="0" collapsed="false">
      <c r="A16" s="11"/>
      <c r="B16" s="10"/>
      <c r="C16" s="10"/>
      <c r="D16" s="27"/>
      <c r="E16" s="11"/>
      <c r="F16" s="34"/>
      <c r="G16" s="34"/>
      <c r="H16" s="32" t="str">
        <f aca="false">IF(OR(F16="",G16="",F16=0),"",G16/F16)</f>
        <v/>
      </c>
      <c r="I16" s="22"/>
      <c r="J16" s="19" t="str">
        <f aca="false">IF(A16="","",IF(D16="Yes","Completed",IF(A16&lt;Dashboard!$C$5,"Missed","Scheduled")))</f>
        <v/>
      </c>
      <c r="K16" s="10"/>
    </row>
    <row r="17" customFormat="false" ht="15" hidden="false" customHeight="false" outlineLevel="0" collapsed="false">
      <c r="A17" s="11"/>
      <c r="B17" s="10"/>
      <c r="C17" s="10"/>
      <c r="D17" s="27"/>
      <c r="E17" s="11"/>
      <c r="F17" s="34"/>
      <c r="G17" s="34"/>
      <c r="H17" s="32" t="str">
        <f aca="false">IF(OR(F17="",G17="",F17=0),"",G17/F17)</f>
        <v/>
      </c>
      <c r="I17" s="22"/>
      <c r="J17" s="19" t="str">
        <f aca="false">IF(A17="","",IF(D17="Yes","Completed",IF(A17&lt;Dashboard!$C$5,"Missed","Scheduled")))</f>
        <v/>
      </c>
      <c r="K17" s="10"/>
    </row>
    <row r="18" customFormat="false" ht="15" hidden="false" customHeight="false" outlineLevel="0" collapsed="false">
      <c r="A18" s="11"/>
      <c r="B18" s="10"/>
      <c r="C18" s="10"/>
      <c r="D18" s="27"/>
      <c r="E18" s="11"/>
      <c r="F18" s="34"/>
      <c r="G18" s="34"/>
      <c r="H18" s="32" t="str">
        <f aca="false">IF(OR(F18="",G18="",F18=0),"",G18/F18)</f>
        <v/>
      </c>
      <c r="I18" s="22"/>
      <c r="J18" s="19" t="str">
        <f aca="false">IF(A18="","",IF(D18="Yes","Completed",IF(A18&lt;Dashboard!$C$5,"Missed","Scheduled")))</f>
        <v/>
      </c>
      <c r="K18" s="10"/>
    </row>
    <row r="19" customFormat="false" ht="15" hidden="false" customHeight="false" outlineLevel="0" collapsed="false">
      <c r="A19" s="11"/>
      <c r="B19" s="10"/>
      <c r="C19" s="10"/>
      <c r="D19" s="27"/>
      <c r="E19" s="11"/>
      <c r="F19" s="34"/>
      <c r="G19" s="34"/>
      <c r="H19" s="32" t="str">
        <f aca="false">IF(OR(F19="",G19="",F19=0),"",G19/F19)</f>
        <v/>
      </c>
      <c r="I19" s="22"/>
      <c r="J19" s="19" t="str">
        <f aca="false">IF(A19="","",IF(D19="Yes","Completed",IF(A19&lt;Dashboard!$C$5,"Missed","Scheduled")))</f>
        <v/>
      </c>
      <c r="K19" s="10"/>
    </row>
    <row r="20" customFormat="false" ht="15" hidden="false" customHeight="false" outlineLevel="0" collapsed="false">
      <c r="A20" s="11"/>
      <c r="B20" s="10"/>
      <c r="C20" s="10"/>
      <c r="D20" s="27"/>
      <c r="E20" s="11"/>
      <c r="F20" s="34"/>
      <c r="G20" s="34"/>
      <c r="H20" s="32" t="str">
        <f aca="false">IF(OR(F20="",G20="",F20=0),"",G20/F20)</f>
        <v/>
      </c>
      <c r="I20" s="22"/>
      <c r="J20" s="19" t="str">
        <f aca="false">IF(A20="","",IF(D20="Yes","Completed",IF(A20&lt;Dashboard!$C$5,"Missed","Scheduled")))</f>
        <v/>
      </c>
      <c r="K20" s="10"/>
    </row>
    <row r="21" customFormat="false" ht="15" hidden="false" customHeight="false" outlineLevel="0" collapsed="false">
      <c r="A21" s="11"/>
      <c r="B21" s="10"/>
      <c r="C21" s="10"/>
      <c r="D21" s="27"/>
      <c r="E21" s="11"/>
      <c r="F21" s="34"/>
      <c r="G21" s="34"/>
      <c r="H21" s="32" t="str">
        <f aca="false">IF(OR(F21="",G21="",F21=0),"",G21/F21)</f>
        <v/>
      </c>
      <c r="I21" s="22"/>
      <c r="J21" s="19" t="str">
        <f aca="false">IF(A21="","",IF(D21="Yes","Completed",IF(A21&lt;Dashboard!$C$5,"Missed","Scheduled")))</f>
        <v/>
      </c>
      <c r="K21" s="10"/>
    </row>
    <row r="22" customFormat="false" ht="15" hidden="false" customHeight="false" outlineLevel="0" collapsed="false">
      <c r="A22" s="11"/>
      <c r="B22" s="10"/>
      <c r="C22" s="10"/>
      <c r="D22" s="27"/>
      <c r="E22" s="11"/>
      <c r="F22" s="34"/>
      <c r="G22" s="34"/>
      <c r="H22" s="32" t="str">
        <f aca="false">IF(OR(F22="",G22="",F22=0),"",G22/F22)</f>
        <v/>
      </c>
      <c r="I22" s="22"/>
      <c r="J22" s="19" t="str">
        <f aca="false">IF(A22="","",IF(D22="Yes","Completed",IF(A22&lt;Dashboard!$C$5,"Missed","Scheduled")))</f>
        <v/>
      </c>
      <c r="K22" s="10"/>
    </row>
    <row r="23" customFormat="false" ht="15" hidden="false" customHeight="false" outlineLevel="0" collapsed="false">
      <c r="A23" s="11"/>
      <c r="B23" s="10"/>
      <c r="C23" s="10"/>
      <c r="D23" s="27"/>
      <c r="E23" s="11"/>
      <c r="F23" s="34"/>
      <c r="G23" s="34"/>
      <c r="H23" s="32" t="str">
        <f aca="false">IF(OR(F23="",G23="",F23=0),"",G23/F23)</f>
        <v/>
      </c>
      <c r="I23" s="22"/>
      <c r="J23" s="19" t="str">
        <f aca="false">IF(A23="","",IF(D23="Yes","Completed",IF(A23&lt;Dashboard!$C$5,"Missed","Scheduled")))</f>
        <v/>
      </c>
      <c r="K23" s="10"/>
    </row>
    <row r="24" customFormat="false" ht="15" hidden="false" customHeight="false" outlineLevel="0" collapsed="false">
      <c r="A24" s="11"/>
      <c r="B24" s="10"/>
      <c r="C24" s="10"/>
      <c r="D24" s="27"/>
      <c r="E24" s="11"/>
      <c r="F24" s="34"/>
      <c r="G24" s="34"/>
      <c r="H24" s="32" t="str">
        <f aca="false">IF(OR(F24="",G24="",F24=0),"",G24/F24)</f>
        <v/>
      </c>
      <c r="I24" s="22"/>
      <c r="J24" s="19" t="str">
        <f aca="false">IF(A24="","",IF(D24="Yes","Completed",IF(A24&lt;Dashboard!$C$5,"Missed","Scheduled")))</f>
        <v/>
      </c>
      <c r="K24" s="10"/>
    </row>
    <row r="25" customFormat="false" ht="15" hidden="false" customHeight="false" outlineLevel="0" collapsed="false">
      <c r="A25" s="11"/>
      <c r="B25" s="10"/>
      <c r="C25" s="10"/>
      <c r="D25" s="27"/>
      <c r="E25" s="11"/>
      <c r="F25" s="34"/>
      <c r="G25" s="34"/>
      <c r="H25" s="32" t="str">
        <f aca="false">IF(OR(F25="",G25="",F25=0),"",G25/F25)</f>
        <v/>
      </c>
      <c r="I25" s="22"/>
      <c r="J25" s="19" t="str">
        <f aca="false">IF(A25="","",IF(D25="Yes","Completed",IF(A25&lt;Dashboard!$C$5,"Missed","Scheduled")))</f>
        <v/>
      </c>
      <c r="K25" s="10"/>
    </row>
    <row r="26" customFormat="false" ht="15" hidden="false" customHeight="false" outlineLevel="0" collapsed="false">
      <c r="A26" s="11"/>
      <c r="B26" s="10"/>
      <c r="C26" s="10"/>
      <c r="D26" s="27"/>
      <c r="E26" s="11"/>
      <c r="F26" s="34"/>
      <c r="G26" s="34"/>
      <c r="H26" s="32" t="str">
        <f aca="false">IF(OR(F26="",G26="",F26=0),"",G26/F26)</f>
        <v/>
      </c>
      <c r="I26" s="22"/>
      <c r="J26" s="19" t="str">
        <f aca="false">IF(A26="","",IF(D26="Yes","Completed",IF(A26&lt;Dashboard!$C$5,"Missed","Scheduled")))</f>
        <v/>
      </c>
      <c r="K26" s="10"/>
    </row>
    <row r="27" customFormat="false" ht="15" hidden="false" customHeight="false" outlineLevel="0" collapsed="false">
      <c r="A27" s="11"/>
      <c r="B27" s="10"/>
      <c r="C27" s="10"/>
      <c r="D27" s="27"/>
      <c r="E27" s="11"/>
      <c r="F27" s="34"/>
      <c r="G27" s="34"/>
      <c r="H27" s="32" t="str">
        <f aca="false">IF(OR(F27="",G27="",F27=0),"",G27/F27)</f>
        <v/>
      </c>
      <c r="I27" s="22"/>
      <c r="J27" s="19" t="str">
        <f aca="false">IF(A27="","",IF(D27="Yes","Completed",IF(A27&lt;Dashboard!$C$5,"Missed","Scheduled")))</f>
        <v/>
      </c>
      <c r="K27" s="10"/>
    </row>
    <row r="28" customFormat="false" ht="15" hidden="false" customHeight="false" outlineLevel="0" collapsed="false">
      <c r="A28" s="11"/>
      <c r="B28" s="10"/>
      <c r="C28" s="10"/>
      <c r="D28" s="27"/>
      <c r="E28" s="11"/>
      <c r="F28" s="34"/>
      <c r="G28" s="34"/>
      <c r="H28" s="32" t="str">
        <f aca="false">IF(OR(F28="",G28="",F28=0),"",G28/F28)</f>
        <v/>
      </c>
      <c r="I28" s="22"/>
      <c r="J28" s="19" t="str">
        <f aca="false">IF(A28="","",IF(D28="Yes","Completed",IF(A28&lt;Dashboard!$C$5,"Missed","Scheduled")))</f>
        <v/>
      </c>
      <c r="K28" s="10"/>
    </row>
    <row r="29" customFormat="false" ht="15" hidden="false" customHeight="false" outlineLevel="0" collapsed="false">
      <c r="A29" s="11"/>
      <c r="B29" s="10"/>
      <c r="C29" s="10"/>
      <c r="D29" s="27"/>
      <c r="E29" s="11"/>
      <c r="F29" s="34"/>
      <c r="G29" s="34"/>
      <c r="H29" s="32" t="str">
        <f aca="false">IF(OR(F29="",G29="",F29=0),"",G29/F29)</f>
        <v/>
      </c>
      <c r="I29" s="22"/>
      <c r="J29" s="19" t="str">
        <f aca="false">IF(A29="","",IF(D29="Yes","Completed",IF(A29&lt;Dashboard!$C$5,"Missed","Scheduled")))</f>
        <v/>
      </c>
      <c r="K29" s="10"/>
    </row>
    <row r="30" customFormat="false" ht="15" hidden="false" customHeight="false" outlineLevel="0" collapsed="false">
      <c r="A30" s="11"/>
      <c r="B30" s="10"/>
      <c r="C30" s="10"/>
      <c r="D30" s="27"/>
      <c r="E30" s="11"/>
      <c r="F30" s="34"/>
      <c r="G30" s="34"/>
      <c r="H30" s="32" t="str">
        <f aca="false">IF(OR(F30="",G30="",F30=0),"",G30/F30)</f>
        <v/>
      </c>
      <c r="I30" s="22"/>
      <c r="J30" s="19" t="str">
        <f aca="false">IF(A30="","",IF(D30="Yes","Completed",IF(A30&lt;Dashboard!$C$5,"Missed","Scheduled")))</f>
        <v/>
      </c>
      <c r="K30" s="10"/>
    </row>
    <row r="31" customFormat="false" ht="15" hidden="false" customHeight="false" outlineLevel="0" collapsed="false">
      <c r="A31" s="11"/>
      <c r="B31" s="10"/>
      <c r="C31" s="10"/>
      <c r="D31" s="27"/>
      <c r="E31" s="11"/>
      <c r="F31" s="34"/>
      <c r="G31" s="34"/>
      <c r="H31" s="32" t="str">
        <f aca="false">IF(OR(F31="",G31="",F31=0),"",G31/F31)</f>
        <v/>
      </c>
      <c r="I31" s="22"/>
      <c r="J31" s="19" t="str">
        <f aca="false">IF(A31="","",IF(D31="Yes","Completed",IF(A31&lt;Dashboard!$C$5,"Missed","Scheduled")))</f>
        <v/>
      </c>
      <c r="K31" s="10"/>
    </row>
    <row r="32" customFormat="false" ht="15" hidden="false" customHeight="false" outlineLevel="0" collapsed="false">
      <c r="A32" s="11"/>
      <c r="B32" s="10"/>
      <c r="C32" s="10"/>
      <c r="D32" s="27"/>
      <c r="E32" s="11"/>
      <c r="F32" s="34"/>
      <c r="G32" s="34"/>
      <c r="H32" s="32" t="str">
        <f aca="false">IF(OR(F32="",G32="",F32=0),"",G32/F32)</f>
        <v/>
      </c>
      <c r="I32" s="22"/>
      <c r="J32" s="19" t="str">
        <f aca="false">IF(A32="","",IF(D32="Yes","Completed",IF(A32&lt;Dashboard!$C$5,"Missed","Scheduled")))</f>
        <v/>
      </c>
      <c r="K32" s="10"/>
    </row>
    <row r="33" customFormat="false" ht="15" hidden="false" customHeight="false" outlineLevel="0" collapsed="false">
      <c r="A33" s="11"/>
      <c r="B33" s="10"/>
      <c r="C33" s="10"/>
      <c r="D33" s="27"/>
      <c r="E33" s="11"/>
      <c r="F33" s="34"/>
      <c r="G33" s="34"/>
      <c r="H33" s="32" t="str">
        <f aca="false">IF(OR(F33="",G33="",F33=0),"",G33/F33)</f>
        <v/>
      </c>
      <c r="I33" s="22"/>
      <c r="J33" s="19" t="str">
        <f aca="false">IF(A33="","",IF(D33="Yes","Completed",IF(A33&lt;Dashboard!$C$5,"Missed","Scheduled")))</f>
        <v/>
      </c>
      <c r="K33" s="10"/>
    </row>
    <row r="34" customFormat="false" ht="15" hidden="false" customHeight="false" outlineLevel="0" collapsed="false">
      <c r="A34" s="11"/>
      <c r="B34" s="10"/>
      <c r="C34" s="10"/>
      <c r="D34" s="27"/>
      <c r="E34" s="11"/>
      <c r="F34" s="34"/>
      <c r="G34" s="34"/>
      <c r="H34" s="32" t="str">
        <f aca="false">IF(OR(F34="",G34="",F34=0),"",G34/F34)</f>
        <v/>
      </c>
      <c r="I34" s="22"/>
      <c r="J34" s="19" t="str">
        <f aca="false">IF(A34="","",IF(D34="Yes","Completed",IF(A34&lt;Dashboard!$C$5,"Missed","Scheduled")))</f>
        <v/>
      </c>
      <c r="K34" s="10"/>
    </row>
  </sheetData>
  <conditionalFormatting sqref="J5:J34">
    <cfRule type="cellIs" priority="2" operator="equal" aboveAverage="0" equalAverage="0" bottom="0" percent="0" rank="0" text="" dxfId="0">
      <formula>"Completed"</formula>
    </cfRule>
    <cfRule type="cellIs" priority="3" operator="equal" aboveAverage="0" equalAverage="0" bottom="0" percent="0" rank="0" text="" dxfId="1">
      <formula>"Scheduled"</formula>
    </cfRule>
    <cfRule type="cellIs" priority="4" operator="equal" aboveAverage="0" equalAverage="0" bottom="0" percent="0" rank="0" text="" dxfId="2">
      <formula>"Missed"</formula>
    </cfRule>
  </conditionalFormatting>
  <dataValidations count="2">
    <dataValidation allowBlank="true" error="Please choose a value from the list." errorStyle="stop" errorTitle="Invalid entry" operator="between" showDropDown="false" showErrorMessage="false" showInputMessage="false" sqref="B5:B34" type="list">
      <formula1>Lists!$K$2:$K$6</formula1>
      <formula2>0</formula2>
    </dataValidation>
    <dataValidation allowBlank="true" error="Please choose a value from the list." errorStyle="stop" errorTitle="Invalid entry" operator="between" showDropDown="false" showErrorMessage="false" showInputMessage="false" sqref="D5:D34" type="list">
      <formula1>Lists!$A$2:$A$3</formula1>
      <formula2>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8"/>
    <col collapsed="false" customWidth="true" hidden="false" outlineLevel="0" max="14" min="14" style="0" width="36"/>
    <col collapsed="false" customWidth="true" hidden="false" outlineLevel="0" max="15" min="15" style="0" width="10"/>
  </cols>
  <sheetData>
    <row r="1" customFormat="false" ht="30" hidden="false" customHeight="true" outlineLevel="0" collapsed="false">
      <c r="A1" s="13" t="s">
        <v>320</v>
      </c>
      <c r="B1" s="13" t="s">
        <v>321</v>
      </c>
      <c r="C1" s="13" t="s">
        <v>322</v>
      </c>
      <c r="D1" s="13" t="s">
        <v>93</v>
      </c>
      <c r="E1" s="13" t="s">
        <v>323</v>
      </c>
      <c r="F1" s="13" t="s">
        <v>184</v>
      </c>
      <c r="G1" s="13" t="s">
        <v>185</v>
      </c>
      <c r="H1" s="13" t="s">
        <v>324</v>
      </c>
      <c r="I1" s="13" t="s">
        <v>325</v>
      </c>
      <c r="J1" s="13" t="s">
        <v>326</v>
      </c>
      <c r="K1" s="13" t="s">
        <v>327</v>
      </c>
      <c r="L1" s="13" t="s">
        <v>328</v>
      </c>
      <c r="M1" s="2"/>
      <c r="N1" s="13" t="s">
        <v>329</v>
      </c>
      <c r="O1" s="13" t="s">
        <v>330</v>
      </c>
    </row>
    <row r="2" customFormat="false" ht="26.85" hidden="false" customHeight="false" outlineLevel="0" collapsed="false">
      <c r="A2" s="6" t="s">
        <v>105</v>
      </c>
      <c r="B2" s="6" t="s">
        <v>105</v>
      </c>
      <c r="C2" s="6" t="s">
        <v>231</v>
      </c>
      <c r="D2" s="6" t="s">
        <v>94</v>
      </c>
      <c r="E2" s="6" t="s">
        <v>151</v>
      </c>
      <c r="F2" s="6" t="s">
        <v>197</v>
      </c>
      <c r="G2" s="6" t="s">
        <v>205</v>
      </c>
      <c r="H2" s="6" t="s">
        <v>149</v>
      </c>
      <c r="I2" s="6" t="s">
        <v>331</v>
      </c>
      <c r="J2" s="6" t="s">
        <v>303</v>
      </c>
      <c r="K2" s="6" t="s">
        <v>317</v>
      </c>
      <c r="L2" s="6" t="s">
        <v>230</v>
      </c>
      <c r="M2" s="2"/>
      <c r="N2" s="6" t="s">
        <v>332</v>
      </c>
      <c r="O2" s="10" t="n">
        <v>30</v>
      </c>
    </row>
    <row r="3" customFormat="false" ht="26.85" hidden="false" customHeight="false" outlineLevel="0" collapsed="false">
      <c r="A3" s="6" t="s">
        <v>107</v>
      </c>
      <c r="B3" s="6" t="s">
        <v>107</v>
      </c>
      <c r="C3" s="6" t="s">
        <v>235</v>
      </c>
      <c r="D3" s="6" t="s">
        <v>95</v>
      </c>
      <c r="E3" s="6" t="s">
        <v>333</v>
      </c>
      <c r="F3" s="6" t="s">
        <v>204</v>
      </c>
      <c r="G3" s="6" t="s">
        <v>210</v>
      </c>
      <c r="H3" s="6" t="s">
        <v>334</v>
      </c>
      <c r="I3" s="6" t="s">
        <v>335</v>
      </c>
      <c r="J3" s="6" t="s">
        <v>336</v>
      </c>
      <c r="K3" s="6" t="s">
        <v>319</v>
      </c>
      <c r="L3" s="6" t="s">
        <v>232</v>
      </c>
      <c r="M3" s="2"/>
      <c r="N3" s="6" t="s">
        <v>337</v>
      </c>
      <c r="O3" s="10" t="n">
        <v>7</v>
      </c>
    </row>
    <row r="4" customFormat="false" ht="26.85" hidden="false" customHeight="false" outlineLevel="0" collapsed="false">
      <c r="A4" s="2"/>
      <c r="B4" s="6" t="s">
        <v>266</v>
      </c>
      <c r="C4" s="2"/>
      <c r="D4" s="6" t="s">
        <v>96</v>
      </c>
      <c r="E4" s="6" t="s">
        <v>338</v>
      </c>
      <c r="F4" s="6" t="s">
        <v>339</v>
      </c>
      <c r="G4" s="6" t="s">
        <v>340</v>
      </c>
      <c r="H4" s="6" t="s">
        <v>341</v>
      </c>
      <c r="I4" s="6" t="s">
        <v>342</v>
      </c>
      <c r="J4" s="6" t="s">
        <v>343</v>
      </c>
      <c r="K4" s="6" t="s">
        <v>344</v>
      </c>
      <c r="L4" s="6" t="s">
        <v>233</v>
      </c>
      <c r="M4" s="2"/>
      <c r="N4" s="6" t="s">
        <v>345</v>
      </c>
      <c r="O4" s="10" t="n">
        <v>30</v>
      </c>
    </row>
    <row r="5" customFormat="false" ht="26.85" hidden="false" customHeight="false" outlineLevel="0" collapsed="false">
      <c r="A5" s="2"/>
      <c r="B5" s="2"/>
      <c r="C5" s="2"/>
      <c r="D5" s="6" t="s">
        <v>97</v>
      </c>
      <c r="E5" s="6" t="s">
        <v>346</v>
      </c>
      <c r="F5" s="6" t="s">
        <v>217</v>
      </c>
      <c r="G5" s="6" t="s">
        <v>198</v>
      </c>
      <c r="H5" s="6" t="s">
        <v>347</v>
      </c>
      <c r="I5" s="6" t="s">
        <v>348</v>
      </c>
      <c r="J5" s="6" t="s">
        <v>349</v>
      </c>
      <c r="K5" s="6" t="s">
        <v>350</v>
      </c>
      <c r="L5" s="6" t="s">
        <v>234</v>
      </c>
      <c r="M5" s="2"/>
      <c r="N5" s="6" t="s">
        <v>351</v>
      </c>
      <c r="O5" s="10" t="n">
        <v>12</v>
      </c>
    </row>
    <row r="6" customFormat="false" ht="26.85" hidden="false" customHeight="false" outlineLevel="0" collapsed="false">
      <c r="A6" s="2"/>
      <c r="B6" s="2"/>
      <c r="C6" s="2"/>
      <c r="D6" s="6" t="s">
        <v>98</v>
      </c>
      <c r="E6" s="6" t="s">
        <v>352</v>
      </c>
      <c r="F6" s="6" t="s">
        <v>353</v>
      </c>
      <c r="G6" s="6" t="s">
        <v>354</v>
      </c>
      <c r="H6" s="6" t="s">
        <v>355</v>
      </c>
      <c r="I6" s="6" t="s">
        <v>298</v>
      </c>
      <c r="J6" s="6" t="s">
        <v>356</v>
      </c>
      <c r="K6" s="6" t="s">
        <v>357</v>
      </c>
      <c r="L6" s="6" t="s">
        <v>238</v>
      </c>
      <c r="M6" s="2"/>
      <c r="N6" s="2"/>
      <c r="O6" s="2"/>
    </row>
    <row r="7" customFormat="false" ht="26.85" hidden="false" customHeight="false" outlineLevel="0" collapsed="false">
      <c r="A7" s="2"/>
      <c r="B7" s="2"/>
      <c r="C7" s="2"/>
      <c r="D7" s="2"/>
      <c r="E7" s="2"/>
      <c r="F7" s="6" t="s">
        <v>358</v>
      </c>
      <c r="G7" s="2"/>
      <c r="H7" s="6" t="s">
        <v>359</v>
      </c>
      <c r="I7" s="6" t="s">
        <v>360</v>
      </c>
      <c r="J7" s="6" t="s">
        <v>361</v>
      </c>
      <c r="K7" s="2"/>
      <c r="L7" s="6" t="s">
        <v>239</v>
      </c>
      <c r="M7" s="2"/>
      <c r="N7" s="2"/>
      <c r="O7" s="2"/>
    </row>
    <row r="8" customFormat="false" ht="26.85" hidden="false" customHeight="false" outlineLevel="0" collapsed="false">
      <c r="A8" s="2"/>
      <c r="B8" s="2"/>
      <c r="C8" s="2"/>
      <c r="D8" s="2"/>
      <c r="E8" s="2"/>
      <c r="F8" s="6" t="s">
        <v>362</v>
      </c>
      <c r="G8" s="2"/>
      <c r="H8" s="6" t="s">
        <v>363</v>
      </c>
      <c r="I8" s="6" t="s">
        <v>302</v>
      </c>
      <c r="J8" s="6" t="s">
        <v>364</v>
      </c>
      <c r="K8" s="2"/>
      <c r="L8" s="6" t="s">
        <v>240</v>
      </c>
      <c r="M8" s="2"/>
      <c r="N8" s="2"/>
      <c r="O8" s="2"/>
    </row>
    <row r="9" customFormat="false" ht="26.85" hidden="false" customHeight="false" outlineLevel="0" collapsed="false">
      <c r="A9" s="2"/>
      <c r="B9" s="2"/>
      <c r="C9" s="2"/>
      <c r="D9" s="2"/>
      <c r="E9" s="2"/>
      <c r="F9" s="6" t="s">
        <v>365</v>
      </c>
      <c r="G9" s="2"/>
      <c r="H9" s="6" t="s">
        <v>366</v>
      </c>
      <c r="I9" s="6" t="s">
        <v>367</v>
      </c>
      <c r="J9" s="6" t="s">
        <v>299</v>
      </c>
      <c r="K9" s="2"/>
      <c r="L9" s="6" t="s">
        <v>241</v>
      </c>
      <c r="M9" s="2"/>
      <c r="N9" s="2"/>
      <c r="O9" s="2"/>
    </row>
    <row r="10" customFormat="false" ht="26.85" hidden="false" customHeight="false" outlineLevel="0" collapsed="false">
      <c r="A10" s="2"/>
      <c r="B10" s="2"/>
      <c r="C10" s="2"/>
      <c r="D10" s="2"/>
      <c r="E10" s="2"/>
      <c r="F10" s="6" t="s">
        <v>368</v>
      </c>
      <c r="G10" s="2"/>
      <c r="H10" s="2"/>
      <c r="I10" s="6" t="s">
        <v>369</v>
      </c>
      <c r="J10" s="6" t="s">
        <v>370</v>
      </c>
      <c r="K10" s="2"/>
      <c r="L10" s="6" t="s">
        <v>242</v>
      </c>
      <c r="M10" s="2"/>
      <c r="N10" s="2"/>
      <c r="O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6" t="s">
        <v>371</v>
      </c>
      <c r="K11" s="2"/>
      <c r="L11" s="6" t="s">
        <v>243</v>
      </c>
      <c r="M11" s="2"/>
      <c r="N11" s="2"/>
      <c r="O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6" t="s">
        <v>372</v>
      </c>
      <c r="K12" s="2"/>
      <c r="L12" s="2"/>
      <c r="M12" s="2"/>
      <c r="N12" s="2"/>
      <c r="O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2026-10-03T15:33:42Z</dcterms:created>
  <dc:creator>openpyxl</dc:creator>
  <dc:description/>
  <dc:language>en-US</dc:language>
  <cp:lastModifiedBy/>
  <dcterms:modified xsi:type="dcterms:W3CDTF">2026-10-03T15:33:44Z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